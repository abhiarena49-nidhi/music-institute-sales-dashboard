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bhishek\Downloads\Dashboard\"/>
    </mc:Choice>
  </mc:AlternateContent>
  <xr:revisionPtr revIDLastSave="0" documentId="13_ncr:1_{DBCB3594-BB36-4C43-8FD0-90377296BB36}" xr6:coauthVersionLast="47" xr6:coauthVersionMax="47" xr10:uidLastSave="{00000000-0000-0000-0000-000000000000}"/>
  <bookViews>
    <workbookView xWindow="-120" yWindow="-120" windowWidth="29040" windowHeight="15720" activeTab="1" xr2:uid="{0B04FFAB-AF77-4010-A024-DE0916AEABED}"/>
  </bookViews>
  <sheets>
    <sheet name="Sheet1" sheetId="1" r:id="rId1"/>
    <sheet name="Sheet2" sheetId="2" r:id="rId2"/>
  </sheets>
  <definedNames>
    <definedName name="Slicer_Month">#N/A</definedName>
    <definedName name="Slicer_Year">#N/A</definedName>
  </definedNames>
  <calcPr calcId="191029"/>
  <pivotCaches>
    <pivotCache cacheId="2161" r:id="rId3"/>
    <pivotCache cacheId="2164" r:id="rId4"/>
    <pivotCache cacheId="2167" r:id="rId5"/>
    <pivotCache cacheId="2170" r:id="rId6"/>
    <pivotCache cacheId="2173" r:id="rId7"/>
    <pivotCache cacheId="2176" r:id="rId8"/>
    <pivotCache cacheId="2179" r:id="rId9"/>
    <pivotCache cacheId="2182" r:id="rId10"/>
    <pivotCache cacheId="2185" r:id="rId11"/>
  </pivotCaches>
  <extLst>
    <ext xmlns:x14="http://schemas.microsoft.com/office/spreadsheetml/2009/9/main" uri="{876F7934-8845-4945-9796-88D515C7AA90}">
      <x14:pivotCaches>
        <pivotCache cacheId="273" r:id="rId12"/>
        <pivotCache cacheId="514"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F Trans Raw_76920b11-7e6a-4201-bf55-8bb5a5aee632" name="SF Trans Raw" connection="Query - SF Trans 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3" i="1" l="1"/>
  <c r="M24" i="1"/>
  <c r="M25" i="1"/>
  <c r="L24" i="1"/>
  <c r="L25" i="1"/>
  <c r="L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B577FF-B69B-49F5-ABF4-4769A7C54286}" name="Query - SF Trans Raw" description="Connection to the 'SF Trans Raw' query in the workbook." type="100" refreshedVersion="8" minRefreshableVersion="5">
    <extLst>
      <ext xmlns:x15="http://schemas.microsoft.com/office/spreadsheetml/2010/11/main" uri="{DE250136-89BD-433C-8126-D09CA5730AF9}">
        <x15:connection id="6c0b4f9e-f158-4678-80dc-7cb09d71f813"/>
      </ext>
    </extLst>
  </connection>
  <connection id="2" xr16:uid="{DB78FF4D-AE43-4FAD-8619-5A5D0012EF0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<sst xmlns="http://schemas.openxmlformats.org/spreadsheetml/2006/main" count="41" uniqueCount="28">
  <si>
    <t>Grand Total</t>
  </si>
  <si>
    <t>Row Labels</t>
  </si>
  <si>
    <t>Total Sales</t>
  </si>
  <si>
    <t>13-21</t>
  </si>
  <si>
    <t>22-30</t>
  </si>
  <si>
    <t>31-40</t>
  </si>
  <si>
    <t>40+</t>
  </si>
  <si>
    <t>6-12</t>
  </si>
  <si>
    <t>Average order Value</t>
  </si>
  <si>
    <t>Total Orders</t>
  </si>
  <si>
    <t>Total Order</t>
  </si>
  <si>
    <t>Total Customers</t>
  </si>
  <si>
    <t>Age Wise Comperison</t>
  </si>
  <si>
    <t>Carnatic Classical</t>
  </si>
  <si>
    <t>Hindi Film Music</t>
  </si>
  <si>
    <t>Hindustani Classical</t>
  </si>
  <si>
    <t>Australia</t>
  </si>
  <si>
    <t>India</t>
  </si>
  <si>
    <t>Singapore</t>
  </si>
  <si>
    <t>UAE</t>
  </si>
  <si>
    <t>UK</t>
  </si>
  <si>
    <t>USA</t>
  </si>
  <si>
    <t>country wise</t>
  </si>
  <si>
    <t>Female</t>
  </si>
  <si>
    <t>Male</t>
  </si>
  <si>
    <t>Values</t>
  </si>
  <si>
    <t>National Sales</t>
  </si>
  <si>
    <t>International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</si>
</sst>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4">
    <fill>
      <patternFill patternType="none"/>
    </fill>
    <fill>
      <patternFill patternType="gray125"/>
    </fill>
    <fill>
      <patternFill patternType="solid">
        <fgColor rgb="FF975CCB"/>
        <bgColor indexed="64"/>
      </patternFill>
    </fill>
    <fill>
      <patternFill patternType="solid">
        <fgColor rgb="FFF1E9FB"/>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2" borderId="0" xfId="0" applyFill="1"/>
    <xf numFmtId="0" fontId="0" fillId="3" borderId="0" xfId="0" applyFill="1"/>
  </cellXfs>
  <cellStyles count="1">
    <cellStyle name="Normal" xfId="0" builtinId="0"/>
  </cellStyles>
  <dxfs count="1">
    <dxf>
      <font>
        <color theme="1"/>
      </font>
      <fill>
        <gradientFill degree="270">
          <stop position="0">
            <color theme="0"/>
          </stop>
          <stop position="1">
            <color rgb="FF7030A0"/>
          </stop>
        </gradientFill>
      </fill>
      <border diagonalUp="0" diagonalDown="0">
        <left/>
        <right/>
        <top/>
        <bottom/>
        <vertical/>
        <horizontal/>
      </border>
    </dxf>
  </dxfs>
  <tableStyles count="1" defaultTableStyle="TableStyleMedium2" defaultPivotStyle="PivotStyleLight16">
    <tableStyle name="Slicer Style 1" pivot="0" table="0" count="1" xr9:uid="{F65C64F6-8FA0-4B3F-864F-8440D4A2B704}">
      <tableStyleElement type="wholeTable" dxfId="0"/>
    </tableStyle>
  </tableStyles>
  <colors>
    <mruColors>
      <color rgb="FFF1E9FB"/>
      <color rgb="FFFBF8FE"/>
      <color rgb="FFCE7FDB"/>
      <color rgb="FFE4C9FF"/>
      <color rgb="FFCC85F3"/>
      <color rgb="FFCD8EDE"/>
      <color rgb="FFB790EC"/>
      <color rgb="FFD3BBF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calcChain" Target="calcChain.xml"/><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 Type="http://schemas.openxmlformats.org/officeDocument/2006/relationships/pivotCacheDefinition" Target="pivotCache/pivotCacheDefinition3.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10" Type="http://schemas.openxmlformats.org/officeDocument/2006/relationships/pivotCacheDefinition" Target="pivotCache/pivotCacheDefinition8.xml"/><Relationship Id="rId19" Type="http://schemas.openxmlformats.org/officeDocument/2006/relationships/sharedStrings" Target="sharedStrings.xml"/><Relationship Id="rId31" Type="http://schemas.openxmlformats.org/officeDocument/2006/relationships/customXml" Target="../customXml/item10.xml"/><Relationship Id="rId44" Type="http://schemas.openxmlformats.org/officeDocument/2006/relationships/customXml" Target="../customXml/item2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powerPivotData" Target="model/item.data"/><Relationship Id="rId41"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Institute.xlsx]Sheet1!PivotTable7</c:name>
    <c:fmtId val="9"/>
  </c:pivotSource>
  <c:chart>
    <c:autoTitleDeleted val="1"/>
    <c:pivotFmts>
      <c:pivotFmt>
        <c:idx val="0"/>
        <c:spPr>
          <a:solidFill>
            <a:srgbClr val="7030A0"/>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Sheet1!$H$10</c:f>
              <c:strCache>
                <c:ptCount val="1"/>
                <c:pt idx="0">
                  <c:v>Total</c:v>
                </c:pt>
              </c:strCache>
            </c:strRef>
          </c:tx>
          <c:spPr>
            <a:solidFill>
              <a:srgbClr val="7030A0"/>
            </a:solidFill>
            <a:ln>
              <a:solidFill>
                <a:schemeClr val="bg2"/>
              </a:solidFill>
            </a:ln>
            <a:effectLst/>
          </c:spPr>
          <c:invertIfNegative val="0"/>
          <c:cat>
            <c:strRef>
              <c:f>Sheet1!$G$11:$G$16</c:f>
              <c:strCache>
                <c:ptCount val="5"/>
                <c:pt idx="0">
                  <c:v>13-21</c:v>
                </c:pt>
                <c:pt idx="1">
                  <c:v>22-30</c:v>
                </c:pt>
                <c:pt idx="2">
                  <c:v>31-40</c:v>
                </c:pt>
                <c:pt idx="3">
                  <c:v>40+</c:v>
                </c:pt>
                <c:pt idx="4">
                  <c:v>6-12</c:v>
                </c:pt>
              </c:strCache>
            </c:strRef>
          </c:cat>
          <c:val>
            <c:numRef>
              <c:f>Sheet1!$H$11:$H$16</c:f>
              <c:numCache>
                <c:formatCode>General</c:formatCode>
                <c:ptCount val="5"/>
                <c:pt idx="0">
                  <c:v>388714</c:v>
                </c:pt>
                <c:pt idx="1">
                  <c:v>495695</c:v>
                </c:pt>
                <c:pt idx="2">
                  <c:v>623571</c:v>
                </c:pt>
                <c:pt idx="3">
                  <c:v>1312089</c:v>
                </c:pt>
                <c:pt idx="4">
                  <c:v>1033908</c:v>
                </c:pt>
              </c:numCache>
            </c:numRef>
          </c:val>
          <c:extLst>
            <c:ext xmlns:c16="http://schemas.microsoft.com/office/drawing/2014/chart" uri="{C3380CC4-5D6E-409C-BE32-E72D297353CC}">
              <c16:uniqueId val="{0000000C-6C33-4494-8E25-B4555DA44950}"/>
            </c:ext>
          </c:extLst>
        </c:ser>
        <c:dLbls>
          <c:showLegendKey val="0"/>
          <c:showVal val="0"/>
          <c:showCatName val="0"/>
          <c:showSerName val="0"/>
          <c:showPercent val="0"/>
          <c:showBubbleSize val="0"/>
        </c:dLbls>
        <c:gapWidth val="219"/>
        <c:overlap val="-27"/>
        <c:axId val="2004083440"/>
        <c:axId val="2004084400"/>
      </c:barChart>
      <c:catAx>
        <c:axId val="2004083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4084400"/>
        <c:crosses val="autoZero"/>
        <c:auto val="1"/>
        <c:lblAlgn val="ctr"/>
        <c:lblOffset val="100"/>
        <c:noMultiLvlLbl val="0"/>
      </c:catAx>
      <c:valAx>
        <c:axId val="2004084400"/>
        <c:scaling>
          <c:orientation val="minMax"/>
        </c:scaling>
        <c:delete val="1"/>
        <c:axPos val="l"/>
        <c:numFmt formatCode="General" sourceLinked="1"/>
        <c:majorTickMark val="out"/>
        <c:minorTickMark val="none"/>
        <c:tickLblPos val="nextTo"/>
        <c:crossAx val="200408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Institute.xlsx]Sheet1!PivotTable1</c:name>
    <c:fmtId val="26"/>
  </c:pivotSource>
  <c:chart>
    <c:autoTitleDeleted val="1"/>
    <c:pivotFmts>
      <c:pivotFmt>
        <c:idx val="0"/>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Sheet1!$H$19</c:f>
              <c:strCache>
                <c:ptCount val="1"/>
                <c:pt idx="0">
                  <c:v>Total</c:v>
                </c:pt>
              </c:strCache>
            </c:strRef>
          </c:tx>
          <c:spPr>
            <a:ln w="28575" cap="rnd">
              <a:solidFill>
                <a:srgbClr val="7030A0"/>
              </a:solidFill>
              <a:round/>
            </a:ln>
            <a:effectLst/>
          </c:spPr>
          <c:marker>
            <c:symbol val="none"/>
          </c:marker>
          <c:cat>
            <c:strRef>
              <c:f>Sheet1!$G$20:$G$26</c:f>
              <c:strCache>
                <c:ptCount val="6"/>
                <c:pt idx="0">
                  <c:v>Australia</c:v>
                </c:pt>
                <c:pt idx="1">
                  <c:v>India</c:v>
                </c:pt>
                <c:pt idx="2">
                  <c:v>Singapore</c:v>
                </c:pt>
                <c:pt idx="3">
                  <c:v>UAE</c:v>
                </c:pt>
                <c:pt idx="4">
                  <c:v>UK</c:v>
                </c:pt>
                <c:pt idx="5">
                  <c:v>USA</c:v>
                </c:pt>
              </c:strCache>
            </c:strRef>
          </c:cat>
          <c:val>
            <c:numRef>
              <c:f>Sheet1!$H$20:$H$26</c:f>
              <c:numCache>
                <c:formatCode>General</c:formatCode>
                <c:ptCount val="6"/>
                <c:pt idx="0">
                  <c:v>126668</c:v>
                </c:pt>
                <c:pt idx="1">
                  <c:v>1975649</c:v>
                </c:pt>
                <c:pt idx="2">
                  <c:v>55876</c:v>
                </c:pt>
                <c:pt idx="3">
                  <c:v>85359</c:v>
                </c:pt>
                <c:pt idx="4">
                  <c:v>267346</c:v>
                </c:pt>
                <c:pt idx="5">
                  <c:v>1343079</c:v>
                </c:pt>
              </c:numCache>
            </c:numRef>
          </c:val>
          <c:smooth val="0"/>
          <c:extLst>
            <c:ext xmlns:c16="http://schemas.microsoft.com/office/drawing/2014/chart" uri="{C3380CC4-5D6E-409C-BE32-E72D297353CC}">
              <c16:uniqueId val="{0000000D-2C16-4A3E-A7C9-FA2F9AC39891}"/>
            </c:ext>
          </c:extLst>
        </c:ser>
        <c:dLbls>
          <c:showLegendKey val="0"/>
          <c:showVal val="0"/>
          <c:showCatName val="0"/>
          <c:showSerName val="0"/>
          <c:showPercent val="0"/>
          <c:showBubbleSize val="0"/>
        </c:dLbls>
        <c:smooth val="0"/>
        <c:axId val="1737920656"/>
        <c:axId val="1737924016"/>
      </c:lineChart>
      <c:catAx>
        <c:axId val="17379206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j-lt"/>
                <a:ea typeface="+mn-ea"/>
                <a:cs typeface="+mn-cs"/>
              </a:defRPr>
            </a:pPr>
            <a:endParaRPr lang="en-US"/>
          </a:p>
        </c:txPr>
        <c:crossAx val="1737924016"/>
        <c:crosses val="autoZero"/>
        <c:auto val="1"/>
        <c:lblAlgn val="ctr"/>
        <c:lblOffset val="100"/>
        <c:noMultiLvlLbl val="0"/>
      </c:catAx>
      <c:valAx>
        <c:axId val="1737924016"/>
        <c:scaling>
          <c:orientation val="minMax"/>
        </c:scaling>
        <c:delete val="1"/>
        <c:axPos val="l"/>
        <c:numFmt formatCode="General" sourceLinked="1"/>
        <c:majorTickMark val="out"/>
        <c:minorTickMark val="none"/>
        <c:tickLblPos val="nextTo"/>
        <c:crossAx val="173792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Institute.xlsx]Sheet1!PivotTable4</c:name>
    <c:fmtId val="7"/>
  </c:pivotSource>
  <c:chart>
    <c:autoTitleDeleted val="1"/>
    <c:pivotFmts>
      <c:pivotFmt>
        <c:idx val="0"/>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D8EDE"/>
          </a:solidFill>
          <a:ln w="19050">
            <a:solidFill>
              <a:schemeClr val="lt1"/>
            </a:solidFill>
          </a:ln>
          <a:effectLst/>
        </c:spPr>
      </c:pivotFmt>
      <c:pivotFmt>
        <c:idx val="2"/>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w="19050">
            <a:solidFill>
              <a:schemeClr val="lt1"/>
            </a:solidFill>
          </a:ln>
          <a:effectLst/>
        </c:spPr>
      </c:pivotFmt>
      <c:pivotFmt>
        <c:idx val="4"/>
        <c:spPr>
          <a:solidFill>
            <a:srgbClr val="CD8EDE"/>
          </a:solidFill>
          <a:ln w="19050">
            <a:solidFill>
              <a:schemeClr val="lt1"/>
            </a:solidFill>
          </a:ln>
          <a:effectLst/>
        </c:spPr>
      </c:pivotFmt>
      <c:pivotFmt>
        <c:idx val="5"/>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pivotFmt>
      <c:pivotFmt>
        <c:idx val="7"/>
        <c:spPr>
          <a:solidFill>
            <a:srgbClr val="CD8EDE"/>
          </a:solidFill>
          <a:ln w="19050">
            <a:solidFill>
              <a:schemeClr val="lt1"/>
            </a:solidFill>
          </a:ln>
          <a:effectLst/>
        </c:spPr>
      </c:pivotFmt>
    </c:pivotFmts>
    <c:plotArea>
      <c:layout/>
      <c:pieChart>
        <c:varyColors val="1"/>
        <c:ser>
          <c:idx val="0"/>
          <c:order val="0"/>
          <c:tx>
            <c:strRef>
              <c:f>Sheet1!$F$10</c:f>
              <c:strCache>
                <c:ptCount val="1"/>
                <c:pt idx="0">
                  <c:v>Total</c:v>
                </c:pt>
              </c:strCache>
            </c:strRef>
          </c:tx>
          <c:spPr>
            <a:solidFill>
              <a:srgbClr val="7030A0"/>
            </a:solidFill>
          </c:spPr>
          <c:dPt>
            <c:idx val="0"/>
            <c:bubble3D val="0"/>
            <c:spPr>
              <a:solidFill>
                <a:srgbClr val="7030A0"/>
              </a:solidFill>
              <a:ln w="19050">
                <a:solidFill>
                  <a:schemeClr val="lt1"/>
                </a:solidFill>
              </a:ln>
              <a:effectLst/>
            </c:spPr>
          </c:dPt>
          <c:dPt>
            <c:idx val="1"/>
            <c:bubble3D val="0"/>
            <c:spPr>
              <a:solidFill>
                <a:srgbClr val="CD8EDE"/>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Sheet1!$E$11:$E$13</c:f>
              <c:strCache>
                <c:ptCount val="2"/>
                <c:pt idx="0">
                  <c:v>Female</c:v>
                </c:pt>
                <c:pt idx="1">
                  <c:v>Male</c:v>
                </c:pt>
              </c:strCache>
            </c:strRef>
          </c:cat>
          <c:val>
            <c:numRef>
              <c:f>Sheet1!$F$11:$F$13</c:f>
              <c:numCache>
                <c:formatCode>General</c:formatCode>
                <c:ptCount val="2"/>
                <c:pt idx="0">
                  <c:v>155</c:v>
                </c:pt>
                <c:pt idx="1">
                  <c:v>78</c:v>
                </c:pt>
              </c:numCache>
            </c:numRef>
          </c:val>
          <c:extLst>
            <c:ext xmlns:c16="http://schemas.microsoft.com/office/drawing/2014/chart" uri="{C3380CC4-5D6E-409C-BE32-E72D297353CC}">
              <c16:uniqueId val="{00000011-E095-4506-B156-393F18F73483}"/>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36880660649126179"/>
          <c:y val="0.11594202898550725"/>
          <c:w val="0.24937840087062285"/>
          <c:h val="9.78267716535433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Music Institute.xlsx]Sheet1!PivotTable8</c:name>
    <c:fmtId val="12"/>
  </c:pivotSource>
  <c:chart>
    <c:autoTitleDeleted val="1"/>
    <c:pivotFmts>
      <c:pivotFmt>
        <c:idx val="0"/>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790EC"/>
          </a:solidFill>
          <a:ln w="19050">
            <a:solidFill>
              <a:schemeClr val="lt1"/>
            </a:solidFill>
          </a:ln>
          <a:effectLst/>
        </c:spPr>
        <c:dLbl>
          <c:idx val="0"/>
          <c:layout>
            <c:manualLayout>
              <c:x val="8.3333333333333329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8.3333333333333343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7030A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790EC"/>
          </a:solidFill>
          <a:ln w="19050">
            <a:solidFill>
              <a:schemeClr val="lt1"/>
            </a:solidFill>
          </a:ln>
          <a:effectLst/>
        </c:spPr>
        <c:dLbl>
          <c:idx val="0"/>
          <c:layout>
            <c:manualLayout>
              <c:x val="8.3333333333333329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30A0"/>
          </a:solidFill>
          <a:ln w="19050">
            <a:solidFill>
              <a:schemeClr val="lt1"/>
            </a:solidFill>
          </a:ln>
          <a:effectLst/>
        </c:spPr>
        <c:dLbl>
          <c:idx val="0"/>
          <c:layout>
            <c:manualLayout>
              <c:x val="-8.3333333333333343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1E9FB"/>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1E9FB"/>
          </a:solidFill>
          <a:ln w="19050">
            <a:solidFill>
              <a:schemeClr val="lt1"/>
            </a:solidFill>
          </a:ln>
          <a:effectLst/>
        </c:spPr>
        <c:dLbl>
          <c:idx val="0"/>
          <c:layout>
            <c:manualLayout>
              <c:x val="8.9785342488754485E-2"/>
              <c:y val="-0.135706406743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w="19050">
            <a:solidFill>
              <a:schemeClr val="lt1"/>
            </a:solidFill>
          </a:ln>
          <a:effectLst/>
        </c:spPr>
        <c:dLbl>
          <c:idx val="0"/>
          <c:layout>
            <c:manualLayout>
              <c:x val="8.9507498431382945E-3"/>
              <c:y val="-0.362998369697179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Sheet1!$K$10</c:f>
              <c:strCache>
                <c:ptCount val="1"/>
                <c:pt idx="0">
                  <c:v>Total</c:v>
                </c:pt>
              </c:strCache>
            </c:strRef>
          </c:tx>
          <c:spPr>
            <a:solidFill>
              <a:srgbClr val="F1E9FB"/>
            </a:solidFill>
          </c:spPr>
          <c:dPt>
            <c:idx val="0"/>
            <c:bubble3D val="0"/>
            <c:spPr>
              <a:solidFill>
                <a:srgbClr val="F1E9FB"/>
              </a:solidFill>
              <a:ln w="19050">
                <a:solidFill>
                  <a:schemeClr val="lt1"/>
                </a:solidFill>
              </a:ln>
              <a:effectLst/>
            </c:spPr>
            <c:extLst>
              <c:ext xmlns:c16="http://schemas.microsoft.com/office/drawing/2014/chart" uri="{C3380CC4-5D6E-409C-BE32-E72D297353CC}">
                <c16:uniqueId val="{00000001-F693-403A-BD3E-D5CFE69C4F49}"/>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F693-403A-BD3E-D5CFE69C4F49}"/>
              </c:ext>
            </c:extLst>
          </c:dPt>
          <c:dLbls>
            <c:dLbl>
              <c:idx val="0"/>
              <c:layout>
                <c:manualLayout>
                  <c:x val="8.9785342488754485E-2"/>
                  <c:y val="-0.135706406743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93-403A-BD3E-D5CFE69C4F49}"/>
                </c:ext>
              </c:extLst>
            </c:dLbl>
            <c:dLbl>
              <c:idx val="1"/>
              <c:layout>
                <c:manualLayout>
                  <c:x val="8.9507498431382945E-3"/>
                  <c:y val="-0.362998369697179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93-403A-BD3E-D5CFE69C4F4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Sheet1!$J$11:$J$12</c:f>
              <c:strCache>
                <c:ptCount val="2"/>
                <c:pt idx="0">
                  <c:v>National Sales</c:v>
                </c:pt>
                <c:pt idx="1">
                  <c:v>International Sales</c:v>
                </c:pt>
              </c:strCache>
            </c:strRef>
          </c:cat>
          <c:val>
            <c:numRef>
              <c:f>Sheet1!$K$11:$K$12</c:f>
              <c:numCache>
                <c:formatCode>General</c:formatCode>
                <c:ptCount val="2"/>
                <c:pt idx="0">
                  <c:v>1975649</c:v>
                </c:pt>
                <c:pt idx="1">
                  <c:v>1878328</c:v>
                </c:pt>
              </c:numCache>
            </c:numRef>
          </c:val>
          <c:extLst>
            <c:ext xmlns:c16="http://schemas.microsoft.com/office/drawing/2014/chart" uri="{C3380CC4-5D6E-409C-BE32-E72D297353CC}">
              <c16:uniqueId val="{00000004-F693-403A-BD3E-D5CFE69C4F49}"/>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layout>
        <c:manualLayout>
          <c:xMode val="edge"/>
          <c:yMode val="edge"/>
          <c:x val="0.30973744443560719"/>
          <c:y val="3.7676413796293086E-2"/>
          <c:w val="0.36289014378253226"/>
          <c:h val="0.115390289870153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emf"/><Relationship Id="rId2" Type="http://schemas.openxmlformats.org/officeDocument/2006/relationships/chart" Target="../charts/chart2.xml"/><Relationship Id="rId16"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5</xdr:col>
      <xdr:colOff>438150</xdr:colOff>
      <xdr:row>1</xdr:row>
      <xdr:rowOff>180976</xdr:rowOff>
    </xdr:from>
    <xdr:to>
      <xdr:col>19</xdr:col>
      <xdr:colOff>28575</xdr:colOff>
      <xdr:row>33</xdr:row>
      <xdr:rowOff>161926</xdr:rowOff>
    </xdr:to>
    <xdr:sp macro="" textlink="">
      <xdr:nvSpPr>
        <xdr:cNvPr id="2" name="Rectangle: Rounded Corners 1">
          <a:extLst>
            <a:ext uri="{FF2B5EF4-FFF2-40B4-BE49-F238E27FC236}">
              <a16:creationId xmlns:a16="http://schemas.microsoft.com/office/drawing/2014/main" id="{AABA813F-FD94-36EE-0218-EB2BD20B637A}"/>
            </a:ext>
          </a:extLst>
        </xdr:cNvPr>
        <xdr:cNvSpPr/>
      </xdr:nvSpPr>
      <xdr:spPr>
        <a:xfrm>
          <a:off x="3486150" y="371476"/>
          <a:ext cx="9544050" cy="6076950"/>
        </a:xfrm>
        <a:prstGeom prst="roundRect">
          <a:avLst>
            <a:gd name="adj" fmla="val 0"/>
          </a:avLst>
        </a:prstGeom>
        <a:solidFill>
          <a:srgbClr val="D3BBF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114300</xdr:colOff>
      <xdr:row>4</xdr:row>
      <xdr:rowOff>9525</xdr:rowOff>
    </xdr:from>
    <xdr:to>
      <xdr:col>18</xdr:col>
      <xdr:colOff>361950</xdr:colOff>
      <xdr:row>31</xdr:row>
      <xdr:rowOff>133350</xdr:rowOff>
    </xdr:to>
    <xdr:sp macro="" textlink="">
      <xdr:nvSpPr>
        <xdr:cNvPr id="3" name="Rectangle: Rounded Corners 2">
          <a:extLst>
            <a:ext uri="{FF2B5EF4-FFF2-40B4-BE49-F238E27FC236}">
              <a16:creationId xmlns:a16="http://schemas.microsoft.com/office/drawing/2014/main" id="{CE0832CA-880B-4FB6-B29F-F829EB632B74}"/>
            </a:ext>
          </a:extLst>
        </xdr:cNvPr>
        <xdr:cNvSpPr/>
      </xdr:nvSpPr>
      <xdr:spPr>
        <a:xfrm>
          <a:off x="3771900" y="771525"/>
          <a:ext cx="8982075" cy="5267325"/>
        </a:xfrm>
        <a:prstGeom prst="roundRect">
          <a:avLst>
            <a:gd name="adj" fmla="val 50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95250</xdr:colOff>
      <xdr:row>4</xdr:row>
      <xdr:rowOff>0</xdr:rowOff>
    </xdr:from>
    <xdr:to>
      <xdr:col>8</xdr:col>
      <xdr:colOff>47625</xdr:colOff>
      <xdr:row>31</xdr:row>
      <xdr:rowOff>134938</xdr:rowOff>
    </xdr:to>
    <xdr:sp macro="" textlink="">
      <xdr:nvSpPr>
        <xdr:cNvPr id="5" name="Rectangle: Top Corners Rounded 4">
          <a:extLst>
            <a:ext uri="{FF2B5EF4-FFF2-40B4-BE49-F238E27FC236}">
              <a16:creationId xmlns:a16="http://schemas.microsoft.com/office/drawing/2014/main" id="{80D01C69-C07A-45E4-AC4E-62E31CEE99E0}"/>
            </a:ext>
          </a:extLst>
        </xdr:cNvPr>
        <xdr:cNvSpPr/>
      </xdr:nvSpPr>
      <xdr:spPr>
        <a:xfrm rot="16200000">
          <a:off x="1710531" y="2813844"/>
          <a:ext cx="5278438" cy="1174750"/>
        </a:xfrm>
        <a:prstGeom prst="round2SameRect">
          <a:avLst>
            <a:gd name="adj1" fmla="val 26326"/>
            <a:gd name="adj2" fmla="val 0"/>
          </a:avLst>
        </a:prstGeom>
        <a:solidFill>
          <a:srgbClr val="F1E9F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266700</xdr:colOff>
      <xdr:row>4</xdr:row>
      <xdr:rowOff>133350</xdr:rowOff>
    </xdr:from>
    <xdr:to>
      <xdr:col>11</xdr:col>
      <xdr:colOff>161925</xdr:colOff>
      <xdr:row>10</xdr:row>
      <xdr:rowOff>66675</xdr:rowOff>
    </xdr:to>
    <xdr:sp macro="" textlink="">
      <xdr:nvSpPr>
        <xdr:cNvPr id="7" name="Rectangle: Rounded Corners 6">
          <a:extLst>
            <a:ext uri="{FF2B5EF4-FFF2-40B4-BE49-F238E27FC236}">
              <a16:creationId xmlns:a16="http://schemas.microsoft.com/office/drawing/2014/main" id="{6A33FC61-02AB-46F9-9DF1-DB630060929D}"/>
            </a:ext>
          </a:extLst>
        </xdr:cNvPr>
        <xdr:cNvSpPr/>
      </xdr:nvSpPr>
      <xdr:spPr>
        <a:xfrm>
          <a:off x="5143500" y="895350"/>
          <a:ext cx="1724025" cy="1076325"/>
        </a:xfrm>
        <a:prstGeom prst="roundRect">
          <a:avLst/>
        </a:prstGeom>
        <a:solidFill>
          <a:schemeClr val="bg1"/>
        </a:solidFill>
        <a:ln>
          <a:solidFill>
            <a:srgbClr val="D3BBF3"/>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333375</xdr:colOff>
      <xdr:row>4</xdr:row>
      <xdr:rowOff>133350</xdr:rowOff>
    </xdr:from>
    <xdr:to>
      <xdr:col>12</xdr:col>
      <xdr:colOff>28575</xdr:colOff>
      <xdr:row>10</xdr:row>
      <xdr:rowOff>66675</xdr:rowOff>
    </xdr:to>
    <xdr:sp macro="" textlink="">
      <xdr:nvSpPr>
        <xdr:cNvPr id="9" name="Rectangle: Rounded Corners 8">
          <a:extLst>
            <a:ext uri="{FF2B5EF4-FFF2-40B4-BE49-F238E27FC236}">
              <a16:creationId xmlns:a16="http://schemas.microsoft.com/office/drawing/2014/main" id="{D768EADF-5A19-597B-53DD-ACA33EA96570}"/>
            </a:ext>
          </a:extLst>
        </xdr:cNvPr>
        <xdr:cNvSpPr/>
      </xdr:nvSpPr>
      <xdr:spPr>
        <a:xfrm>
          <a:off x="7038975" y="895350"/>
          <a:ext cx="1724025" cy="1076325"/>
        </a:xfrm>
        <a:prstGeom prst="roundRect">
          <a:avLst/>
        </a:prstGeom>
        <a:solidFill>
          <a:schemeClr val="bg1"/>
        </a:solidFill>
        <a:ln>
          <a:solidFill>
            <a:srgbClr val="D3BBF3"/>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190500</xdr:colOff>
      <xdr:row>4</xdr:row>
      <xdr:rowOff>133350</xdr:rowOff>
    </xdr:from>
    <xdr:to>
      <xdr:col>15</xdr:col>
      <xdr:colOff>85725</xdr:colOff>
      <xdr:row>10</xdr:row>
      <xdr:rowOff>66675</xdr:rowOff>
    </xdr:to>
    <xdr:sp macro="" textlink="">
      <xdr:nvSpPr>
        <xdr:cNvPr id="10" name="Rectangle: Rounded Corners 9">
          <a:extLst>
            <a:ext uri="{FF2B5EF4-FFF2-40B4-BE49-F238E27FC236}">
              <a16:creationId xmlns:a16="http://schemas.microsoft.com/office/drawing/2014/main" id="{9D421CB0-EDDD-DEEF-1223-2ABA2D71DD15}"/>
            </a:ext>
          </a:extLst>
        </xdr:cNvPr>
        <xdr:cNvSpPr/>
      </xdr:nvSpPr>
      <xdr:spPr>
        <a:xfrm>
          <a:off x="8924925" y="895350"/>
          <a:ext cx="1724025" cy="1076325"/>
        </a:xfrm>
        <a:prstGeom prst="roundRect">
          <a:avLst/>
        </a:prstGeom>
        <a:solidFill>
          <a:schemeClr val="bg1"/>
        </a:solidFill>
        <a:ln>
          <a:solidFill>
            <a:srgbClr val="D3BBF3"/>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247650</xdr:colOff>
      <xdr:row>4</xdr:row>
      <xdr:rowOff>133350</xdr:rowOff>
    </xdr:from>
    <xdr:to>
      <xdr:col>18</xdr:col>
      <xdr:colOff>142875</xdr:colOff>
      <xdr:row>10</xdr:row>
      <xdr:rowOff>66675</xdr:rowOff>
    </xdr:to>
    <xdr:sp macro="" textlink="">
      <xdr:nvSpPr>
        <xdr:cNvPr id="11" name="Rectangle: Rounded Corners 10">
          <a:extLst>
            <a:ext uri="{FF2B5EF4-FFF2-40B4-BE49-F238E27FC236}">
              <a16:creationId xmlns:a16="http://schemas.microsoft.com/office/drawing/2014/main" id="{307A9A88-115A-8C8B-545A-16C122A51FCE}"/>
            </a:ext>
          </a:extLst>
        </xdr:cNvPr>
        <xdr:cNvSpPr/>
      </xdr:nvSpPr>
      <xdr:spPr>
        <a:xfrm>
          <a:off x="10810875" y="895350"/>
          <a:ext cx="1724025" cy="1076325"/>
        </a:xfrm>
        <a:prstGeom prst="roundRect">
          <a:avLst/>
        </a:prstGeom>
        <a:solidFill>
          <a:schemeClr val="bg1"/>
        </a:solidFill>
        <a:ln>
          <a:solidFill>
            <a:srgbClr val="D3BBF3"/>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266700</xdr:colOff>
      <xdr:row>16</xdr:row>
      <xdr:rowOff>57150</xdr:rowOff>
    </xdr:from>
    <xdr:to>
      <xdr:col>14</xdr:col>
      <xdr:colOff>428625</xdr:colOff>
      <xdr:row>23</xdr:row>
      <xdr:rowOff>76200</xdr:rowOff>
    </xdr:to>
    <xdr:sp macro="" textlink="">
      <xdr:nvSpPr>
        <xdr:cNvPr id="12" name="Rectangle: Rounded Corners 11">
          <a:extLst>
            <a:ext uri="{FF2B5EF4-FFF2-40B4-BE49-F238E27FC236}">
              <a16:creationId xmlns:a16="http://schemas.microsoft.com/office/drawing/2014/main" id="{625ADA88-2857-8F3F-F7C6-509FEEBE67DD}"/>
            </a:ext>
          </a:extLst>
        </xdr:cNvPr>
        <xdr:cNvSpPr/>
      </xdr:nvSpPr>
      <xdr:spPr>
        <a:xfrm>
          <a:off x="5143500" y="3105150"/>
          <a:ext cx="5238750" cy="1352550"/>
        </a:xfrm>
        <a:prstGeom prst="roundRect">
          <a:avLst>
            <a:gd name="adj" fmla="val 8216"/>
          </a:avLst>
        </a:prstGeom>
        <a:solidFill>
          <a:schemeClr val="bg1"/>
        </a:solidFill>
        <a:ln>
          <a:solidFill>
            <a:srgbClr val="D3BBF3"/>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600075</xdr:colOff>
      <xdr:row>11</xdr:row>
      <xdr:rowOff>1</xdr:rowOff>
    </xdr:from>
    <xdr:to>
      <xdr:col>18</xdr:col>
      <xdr:colOff>152400</xdr:colOff>
      <xdr:row>20</xdr:row>
      <xdr:rowOff>133350</xdr:rowOff>
    </xdr:to>
    <xdr:sp macro="" textlink="">
      <xdr:nvSpPr>
        <xdr:cNvPr id="14" name="Rectangle: Rounded Corners 13">
          <a:extLst>
            <a:ext uri="{FF2B5EF4-FFF2-40B4-BE49-F238E27FC236}">
              <a16:creationId xmlns:a16="http://schemas.microsoft.com/office/drawing/2014/main" id="{8A3AB827-39C7-F5ED-50A2-08D13FE4CF0F}"/>
            </a:ext>
          </a:extLst>
        </xdr:cNvPr>
        <xdr:cNvSpPr/>
      </xdr:nvSpPr>
      <xdr:spPr>
        <a:xfrm>
          <a:off x="10553700" y="2095501"/>
          <a:ext cx="1990725" cy="1847849"/>
        </a:xfrm>
        <a:prstGeom prst="roundRect">
          <a:avLst>
            <a:gd name="adj" fmla="val 8420"/>
          </a:avLst>
        </a:prstGeom>
        <a:solidFill>
          <a:schemeClr val="bg1"/>
        </a:solidFill>
        <a:ln>
          <a:solidFill>
            <a:srgbClr val="D3BBF3"/>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600075</xdr:colOff>
      <xdr:row>21</xdr:row>
      <xdr:rowOff>76201</xdr:rowOff>
    </xdr:from>
    <xdr:to>
      <xdr:col>18</xdr:col>
      <xdr:colOff>152400</xdr:colOff>
      <xdr:row>31</xdr:row>
      <xdr:rowOff>19050</xdr:rowOff>
    </xdr:to>
    <xdr:sp macro="" textlink="">
      <xdr:nvSpPr>
        <xdr:cNvPr id="15" name="Rectangle: Rounded Corners 14">
          <a:extLst>
            <a:ext uri="{FF2B5EF4-FFF2-40B4-BE49-F238E27FC236}">
              <a16:creationId xmlns:a16="http://schemas.microsoft.com/office/drawing/2014/main" id="{9C395CEF-075A-440A-BEAB-C9CAA9762581}"/>
            </a:ext>
          </a:extLst>
        </xdr:cNvPr>
        <xdr:cNvSpPr/>
      </xdr:nvSpPr>
      <xdr:spPr>
        <a:xfrm>
          <a:off x="10553700" y="4076701"/>
          <a:ext cx="1990725" cy="1847849"/>
        </a:xfrm>
        <a:prstGeom prst="roundRect">
          <a:avLst>
            <a:gd name="adj" fmla="val 9451"/>
          </a:avLst>
        </a:prstGeom>
        <a:solidFill>
          <a:schemeClr val="bg1"/>
        </a:solidFill>
        <a:ln>
          <a:solidFill>
            <a:srgbClr val="D3BBF3"/>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266700</xdr:colOff>
      <xdr:row>23</xdr:row>
      <xdr:rowOff>171450</xdr:rowOff>
    </xdr:from>
    <xdr:to>
      <xdr:col>14</xdr:col>
      <xdr:colOff>428625</xdr:colOff>
      <xdr:row>31</xdr:row>
      <xdr:rowOff>0</xdr:rowOff>
    </xdr:to>
    <xdr:sp macro="" textlink="">
      <xdr:nvSpPr>
        <xdr:cNvPr id="17" name="Rectangle: Rounded Corners 16">
          <a:extLst>
            <a:ext uri="{FF2B5EF4-FFF2-40B4-BE49-F238E27FC236}">
              <a16:creationId xmlns:a16="http://schemas.microsoft.com/office/drawing/2014/main" id="{BC927B6F-5FD0-45EC-8E5F-DBE4EDFE62D4}"/>
            </a:ext>
          </a:extLst>
        </xdr:cNvPr>
        <xdr:cNvSpPr/>
      </xdr:nvSpPr>
      <xdr:spPr>
        <a:xfrm>
          <a:off x="5143500" y="4552950"/>
          <a:ext cx="5238750" cy="1352550"/>
        </a:xfrm>
        <a:prstGeom prst="roundRect">
          <a:avLst>
            <a:gd name="adj" fmla="val 8216"/>
          </a:avLst>
        </a:prstGeom>
        <a:solidFill>
          <a:schemeClr val="bg1"/>
        </a:solidFill>
        <a:ln>
          <a:solidFill>
            <a:srgbClr val="D3BBF3"/>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114300</xdr:colOff>
      <xdr:row>7</xdr:row>
      <xdr:rowOff>171451</xdr:rowOff>
    </xdr:from>
    <xdr:to>
      <xdr:col>11</xdr:col>
      <xdr:colOff>152400</xdr:colOff>
      <xdr:row>10</xdr:row>
      <xdr:rowOff>1</xdr:rowOff>
    </xdr:to>
    <xdr:sp macro="" textlink="Sheet1!A5">
      <xdr:nvSpPr>
        <xdr:cNvPr id="31" name="TextBox 30">
          <a:extLst>
            <a:ext uri="{FF2B5EF4-FFF2-40B4-BE49-F238E27FC236}">
              <a16:creationId xmlns:a16="http://schemas.microsoft.com/office/drawing/2014/main" id="{C1BF6D26-8235-69B8-74EA-7B75C4F0EEFA}"/>
            </a:ext>
          </a:extLst>
        </xdr:cNvPr>
        <xdr:cNvSpPr txBox="1"/>
      </xdr:nvSpPr>
      <xdr:spPr>
        <a:xfrm>
          <a:off x="5600700" y="1504951"/>
          <a:ext cx="12573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2C1A171-E18A-47DA-A7CF-9654568E22BE}" type="TxLink">
            <a:rPr lang="en-US" sz="1600" b="0" i="0" u="none" strike="noStrike">
              <a:ln>
                <a:noFill/>
              </a:ln>
              <a:solidFill>
                <a:srgbClr val="000000"/>
              </a:solidFill>
              <a:latin typeface="Aptos Narrow"/>
            </a:rPr>
            <a:pPr/>
            <a:t>3853977</a:t>
          </a:fld>
          <a:endParaRPr lang="en-US" sz="1600">
            <a:ln>
              <a:noFill/>
            </a:ln>
          </a:endParaRPr>
        </a:p>
      </xdr:txBody>
    </xdr:sp>
    <xdr:clientData/>
  </xdr:twoCellAnchor>
  <xdr:twoCellAnchor>
    <xdr:from>
      <xdr:col>9</xdr:col>
      <xdr:colOff>28575</xdr:colOff>
      <xdr:row>6</xdr:row>
      <xdr:rowOff>104776</xdr:rowOff>
    </xdr:from>
    <xdr:to>
      <xdr:col>11</xdr:col>
      <xdr:colOff>66675</xdr:colOff>
      <xdr:row>8</xdr:row>
      <xdr:rowOff>123826</xdr:rowOff>
    </xdr:to>
    <xdr:sp macro="" textlink="Sheet1!A5">
      <xdr:nvSpPr>
        <xdr:cNvPr id="32" name="TextBox 31">
          <a:extLst>
            <a:ext uri="{FF2B5EF4-FFF2-40B4-BE49-F238E27FC236}">
              <a16:creationId xmlns:a16="http://schemas.microsoft.com/office/drawing/2014/main" id="{5BF98329-9031-238E-91FC-A073FA009379}"/>
            </a:ext>
          </a:extLst>
        </xdr:cNvPr>
        <xdr:cNvSpPr txBox="1"/>
      </xdr:nvSpPr>
      <xdr:spPr>
        <a:xfrm>
          <a:off x="5514975" y="1247776"/>
          <a:ext cx="12573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rPr>
            <a:t>Total</a:t>
          </a:r>
          <a:r>
            <a:rPr lang="en-US" sz="1400" baseline="0">
              <a:ln>
                <a:noFill/>
              </a:ln>
            </a:rPr>
            <a:t> Sales</a:t>
          </a:r>
          <a:endParaRPr lang="en-US" sz="1400">
            <a:ln>
              <a:noFill/>
            </a:ln>
          </a:endParaRPr>
        </a:p>
      </xdr:txBody>
    </xdr:sp>
    <xdr:clientData/>
  </xdr:twoCellAnchor>
  <xdr:twoCellAnchor>
    <xdr:from>
      <xdr:col>11</xdr:col>
      <xdr:colOff>914400</xdr:colOff>
      <xdr:row>8</xdr:row>
      <xdr:rowOff>1</xdr:rowOff>
    </xdr:from>
    <xdr:to>
      <xdr:col>11</xdr:col>
      <xdr:colOff>1447800</xdr:colOff>
      <xdr:row>10</xdr:row>
      <xdr:rowOff>19051</xdr:rowOff>
    </xdr:to>
    <xdr:sp macro="" textlink="Sheet1!C6">
      <xdr:nvSpPr>
        <xdr:cNvPr id="33" name="TextBox 32">
          <a:extLst>
            <a:ext uri="{FF2B5EF4-FFF2-40B4-BE49-F238E27FC236}">
              <a16:creationId xmlns:a16="http://schemas.microsoft.com/office/drawing/2014/main" id="{E4097ED5-8DEF-F935-ECDA-9C38ACCEEC65}"/>
            </a:ext>
          </a:extLst>
        </xdr:cNvPr>
        <xdr:cNvSpPr txBox="1"/>
      </xdr:nvSpPr>
      <xdr:spPr>
        <a:xfrm>
          <a:off x="7620000" y="1524001"/>
          <a:ext cx="5334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634A28A-630A-4306-BE26-9610F294885B}" type="TxLink">
            <a:rPr lang="en-US" sz="1600" b="0" i="0" u="none" strike="noStrike">
              <a:ln>
                <a:noFill/>
              </a:ln>
              <a:solidFill>
                <a:srgbClr val="000000"/>
              </a:solidFill>
              <a:latin typeface="Aptos Narrow"/>
            </a:rPr>
            <a:pPr/>
            <a:t>246</a:t>
          </a:fld>
          <a:endParaRPr lang="en-US" sz="1600">
            <a:ln>
              <a:noFill/>
            </a:ln>
          </a:endParaRPr>
        </a:p>
      </xdr:txBody>
    </xdr:sp>
    <xdr:clientData/>
  </xdr:twoCellAnchor>
  <xdr:twoCellAnchor>
    <xdr:from>
      <xdr:col>11</xdr:col>
      <xdr:colOff>704850</xdr:colOff>
      <xdr:row>6</xdr:row>
      <xdr:rowOff>114301</xdr:rowOff>
    </xdr:from>
    <xdr:to>
      <xdr:col>11</xdr:col>
      <xdr:colOff>1962150</xdr:colOff>
      <xdr:row>8</xdr:row>
      <xdr:rowOff>133351</xdr:rowOff>
    </xdr:to>
    <xdr:sp macro="" textlink="Sheet1!A5">
      <xdr:nvSpPr>
        <xdr:cNvPr id="34" name="TextBox 33">
          <a:extLst>
            <a:ext uri="{FF2B5EF4-FFF2-40B4-BE49-F238E27FC236}">
              <a16:creationId xmlns:a16="http://schemas.microsoft.com/office/drawing/2014/main" id="{72448B78-FF87-043D-00EE-9BE4858EAC3A}"/>
            </a:ext>
          </a:extLst>
        </xdr:cNvPr>
        <xdr:cNvSpPr txBox="1"/>
      </xdr:nvSpPr>
      <xdr:spPr>
        <a:xfrm>
          <a:off x="7410450" y="1257301"/>
          <a:ext cx="12573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rPr>
            <a:t>Total</a:t>
          </a:r>
          <a:r>
            <a:rPr lang="en-US" sz="1400" baseline="0">
              <a:ln>
                <a:noFill/>
              </a:ln>
            </a:rPr>
            <a:t> Order</a:t>
          </a:r>
          <a:endParaRPr lang="en-US" sz="1400">
            <a:ln>
              <a:noFill/>
            </a:ln>
          </a:endParaRPr>
        </a:p>
      </xdr:txBody>
    </xdr:sp>
    <xdr:clientData/>
  </xdr:twoCellAnchor>
  <xdr:twoCellAnchor>
    <xdr:from>
      <xdr:col>13</xdr:col>
      <xdr:colOff>142875</xdr:colOff>
      <xdr:row>8</xdr:row>
      <xdr:rowOff>38101</xdr:rowOff>
    </xdr:from>
    <xdr:to>
      <xdr:col>14</xdr:col>
      <xdr:colOff>66675</xdr:colOff>
      <xdr:row>10</xdr:row>
      <xdr:rowOff>57151</xdr:rowOff>
    </xdr:to>
    <xdr:sp macro="" textlink="Sheet1!E7">
      <xdr:nvSpPr>
        <xdr:cNvPr id="35" name="TextBox 34">
          <a:extLst>
            <a:ext uri="{FF2B5EF4-FFF2-40B4-BE49-F238E27FC236}">
              <a16:creationId xmlns:a16="http://schemas.microsoft.com/office/drawing/2014/main" id="{1CE2BD2B-0AFF-3ABA-CA28-74D2107AD9B1}"/>
            </a:ext>
          </a:extLst>
        </xdr:cNvPr>
        <xdr:cNvSpPr txBox="1"/>
      </xdr:nvSpPr>
      <xdr:spPr>
        <a:xfrm>
          <a:off x="9486900" y="1562101"/>
          <a:ext cx="53340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ABDC4B-9ED2-47E7-BC94-DB5BD053B414}" type="TxLink">
            <a:rPr lang="en-US" sz="1600" b="0" i="0" u="none" strike="noStrike">
              <a:ln>
                <a:noFill/>
              </a:ln>
              <a:solidFill>
                <a:srgbClr val="000000"/>
              </a:solidFill>
              <a:latin typeface="Aptos Narrow"/>
            </a:rPr>
            <a:pPr/>
            <a:t>233</a:t>
          </a:fld>
          <a:endParaRPr lang="en-US" sz="1600">
            <a:ln>
              <a:noFill/>
            </a:ln>
          </a:endParaRPr>
        </a:p>
      </xdr:txBody>
    </xdr:sp>
    <xdr:clientData/>
  </xdr:twoCellAnchor>
  <xdr:twoCellAnchor>
    <xdr:from>
      <xdr:col>12</xdr:col>
      <xdr:colOff>342900</xdr:colOff>
      <xdr:row>6</xdr:row>
      <xdr:rowOff>133351</xdr:rowOff>
    </xdr:from>
    <xdr:to>
      <xdr:col>14</xdr:col>
      <xdr:colOff>514350</xdr:colOff>
      <xdr:row>8</xdr:row>
      <xdr:rowOff>152401</xdr:rowOff>
    </xdr:to>
    <xdr:sp macro="" textlink="Sheet1!A5">
      <xdr:nvSpPr>
        <xdr:cNvPr id="36" name="TextBox 35">
          <a:extLst>
            <a:ext uri="{FF2B5EF4-FFF2-40B4-BE49-F238E27FC236}">
              <a16:creationId xmlns:a16="http://schemas.microsoft.com/office/drawing/2014/main" id="{0D0E5BBB-678F-ACE3-A837-F0B6D2883947}"/>
            </a:ext>
          </a:extLst>
        </xdr:cNvPr>
        <xdr:cNvSpPr txBox="1"/>
      </xdr:nvSpPr>
      <xdr:spPr>
        <a:xfrm>
          <a:off x="9077325" y="1276351"/>
          <a:ext cx="13906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rPr>
            <a:t>Total Customers</a:t>
          </a:r>
        </a:p>
      </xdr:txBody>
    </xdr:sp>
    <xdr:clientData/>
  </xdr:twoCellAnchor>
  <xdr:twoCellAnchor>
    <xdr:from>
      <xdr:col>16</xdr:col>
      <xdr:colOff>133349</xdr:colOff>
      <xdr:row>8</xdr:row>
      <xdr:rowOff>47626</xdr:rowOff>
    </xdr:from>
    <xdr:to>
      <xdr:col>17</xdr:col>
      <xdr:colOff>428624</xdr:colOff>
      <xdr:row>10</xdr:row>
      <xdr:rowOff>66676</xdr:rowOff>
    </xdr:to>
    <xdr:sp macro="" textlink="Sheet1!F8">
      <xdr:nvSpPr>
        <xdr:cNvPr id="37" name="TextBox 36">
          <a:extLst>
            <a:ext uri="{FF2B5EF4-FFF2-40B4-BE49-F238E27FC236}">
              <a16:creationId xmlns:a16="http://schemas.microsoft.com/office/drawing/2014/main" id="{2EB6ABD4-74B8-543B-A110-F82B2D060774}"/>
            </a:ext>
          </a:extLst>
        </xdr:cNvPr>
        <xdr:cNvSpPr txBox="1"/>
      </xdr:nvSpPr>
      <xdr:spPr>
        <a:xfrm>
          <a:off x="11306174" y="1571626"/>
          <a:ext cx="9048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C0B4E8-26EE-468F-9D4F-E523FC6C96EE}" type="TxLink">
            <a:rPr lang="en-US" sz="1600" b="0" i="0" u="none" strike="noStrike">
              <a:ln>
                <a:noFill/>
              </a:ln>
              <a:solidFill>
                <a:srgbClr val="000000"/>
              </a:solidFill>
              <a:latin typeface="Aptos Narrow"/>
            </a:rPr>
            <a:pPr/>
            <a:t>15667</a:t>
          </a:fld>
          <a:endParaRPr lang="en-US" sz="1600">
            <a:ln>
              <a:noFill/>
            </a:ln>
          </a:endParaRPr>
        </a:p>
      </xdr:txBody>
    </xdr:sp>
    <xdr:clientData/>
  </xdr:twoCellAnchor>
  <xdr:twoCellAnchor>
    <xdr:from>
      <xdr:col>15</xdr:col>
      <xdr:colOff>323850</xdr:colOff>
      <xdr:row>6</xdr:row>
      <xdr:rowOff>142876</xdr:rowOff>
    </xdr:from>
    <xdr:to>
      <xdr:col>18</xdr:col>
      <xdr:colOff>152400</xdr:colOff>
      <xdr:row>8</xdr:row>
      <xdr:rowOff>161926</xdr:rowOff>
    </xdr:to>
    <xdr:sp macro="" textlink="Sheet1!A5">
      <xdr:nvSpPr>
        <xdr:cNvPr id="38" name="TextBox 37">
          <a:extLst>
            <a:ext uri="{FF2B5EF4-FFF2-40B4-BE49-F238E27FC236}">
              <a16:creationId xmlns:a16="http://schemas.microsoft.com/office/drawing/2014/main" id="{4B7CF824-BCF4-6F3F-080D-6C5FDBBE9352}"/>
            </a:ext>
          </a:extLst>
        </xdr:cNvPr>
        <xdr:cNvSpPr txBox="1"/>
      </xdr:nvSpPr>
      <xdr:spPr>
        <a:xfrm>
          <a:off x="10887075" y="1285876"/>
          <a:ext cx="1657350"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rPr>
            <a:t>Average</a:t>
          </a:r>
          <a:r>
            <a:rPr lang="en-US" sz="1400" baseline="0">
              <a:ln>
                <a:noFill/>
              </a:ln>
            </a:rPr>
            <a:t> Order Value</a:t>
          </a:r>
          <a:endParaRPr lang="en-US" sz="1400">
            <a:ln>
              <a:noFill/>
            </a:ln>
          </a:endParaRPr>
        </a:p>
      </xdr:txBody>
    </xdr:sp>
    <xdr:clientData/>
  </xdr:twoCellAnchor>
  <xdr:twoCellAnchor>
    <xdr:from>
      <xdr:col>8</xdr:col>
      <xdr:colOff>352425</xdr:colOff>
      <xdr:row>23</xdr:row>
      <xdr:rowOff>28575</xdr:rowOff>
    </xdr:from>
    <xdr:to>
      <xdr:col>14</xdr:col>
      <xdr:colOff>361950</xdr:colOff>
      <xdr:row>29</xdr:row>
      <xdr:rowOff>171450</xdr:rowOff>
    </xdr:to>
    <xdr:graphicFrame macro="">
      <xdr:nvGraphicFramePr>
        <xdr:cNvPr id="39" name="Chart 38">
          <a:extLst>
            <a:ext uri="{FF2B5EF4-FFF2-40B4-BE49-F238E27FC236}">
              <a16:creationId xmlns:a16="http://schemas.microsoft.com/office/drawing/2014/main" id="{DC6D6FEA-C4CA-42A0-B3E5-CB041BB5C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371475</xdr:colOff>
      <xdr:row>15</xdr:row>
      <xdr:rowOff>114300</xdr:rowOff>
    </xdr:from>
    <xdr:to>
      <xdr:col>14</xdr:col>
      <xdr:colOff>342900</xdr:colOff>
      <xdr:row>23</xdr:row>
      <xdr:rowOff>95250</xdr:rowOff>
    </xdr:to>
    <xdr:graphicFrame macro="">
      <xdr:nvGraphicFramePr>
        <xdr:cNvPr id="6" name="Chart 5">
          <a:extLst>
            <a:ext uri="{FF2B5EF4-FFF2-40B4-BE49-F238E27FC236}">
              <a16:creationId xmlns:a16="http://schemas.microsoft.com/office/drawing/2014/main" id="{1A69EC49-0F38-4324-9A1C-808719F18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247650</xdr:colOff>
      <xdr:row>10</xdr:row>
      <xdr:rowOff>0</xdr:rowOff>
    </xdr:from>
    <xdr:to>
      <xdr:col>19</xdr:col>
      <xdr:colOff>495300</xdr:colOff>
      <xdr:row>21</xdr:row>
      <xdr:rowOff>95250</xdr:rowOff>
    </xdr:to>
    <xdr:graphicFrame macro="">
      <xdr:nvGraphicFramePr>
        <xdr:cNvPr id="8" name="Chart 7">
          <a:extLst>
            <a:ext uri="{FF2B5EF4-FFF2-40B4-BE49-F238E27FC236}">
              <a16:creationId xmlns:a16="http://schemas.microsoft.com/office/drawing/2014/main" id="{1164769D-735A-4CB5-8E57-68B98375A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590550</xdr:colOff>
      <xdr:row>21</xdr:row>
      <xdr:rowOff>66674</xdr:rowOff>
    </xdr:from>
    <xdr:to>
      <xdr:col>19</xdr:col>
      <xdr:colOff>371475</xdr:colOff>
      <xdr:row>32</xdr:row>
      <xdr:rowOff>133349</xdr:rowOff>
    </xdr:to>
    <xdr:graphicFrame macro="">
      <xdr:nvGraphicFramePr>
        <xdr:cNvPr id="13" name="Chart 12">
          <a:extLst>
            <a:ext uri="{FF2B5EF4-FFF2-40B4-BE49-F238E27FC236}">
              <a16:creationId xmlns:a16="http://schemas.microsoft.com/office/drawing/2014/main" id="{3EA607A8-AFA9-425A-8468-6AA1604983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104775</xdr:colOff>
      <xdr:row>21</xdr:row>
      <xdr:rowOff>9525</xdr:rowOff>
    </xdr:from>
    <xdr:to>
      <xdr:col>8</xdr:col>
      <xdr:colOff>19051</xdr:colOff>
      <xdr:row>29</xdr:row>
      <xdr:rowOff>180975</xdr:rowOff>
    </xdr:to>
    <mc:AlternateContent xmlns:mc="http://schemas.openxmlformats.org/markup-compatibility/2006">
      <mc:Choice xmlns:a14="http://schemas.microsoft.com/office/drawing/2010/main" Requires="a14">
        <xdr:graphicFrame macro="">
          <xdr:nvGraphicFramePr>
            <xdr:cNvPr id="16" name="Month">
              <a:extLst>
                <a:ext uri="{FF2B5EF4-FFF2-40B4-BE49-F238E27FC236}">
                  <a16:creationId xmlns:a16="http://schemas.microsoft.com/office/drawing/2014/main" id="{960D5E12-3110-44E1-A3D4-7F5BA9BE994B}"/>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762375" y="4010025"/>
              <a:ext cx="1133476" cy="1695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xdr:colOff>
      <xdr:row>8</xdr:row>
      <xdr:rowOff>38099</xdr:rowOff>
    </xdr:from>
    <xdr:to>
      <xdr:col>9</xdr:col>
      <xdr:colOff>219076</xdr:colOff>
      <xdr:row>9</xdr:row>
      <xdr:rowOff>66673</xdr:rowOff>
    </xdr:to>
    <xdr:pic>
      <xdr:nvPicPr>
        <xdr:cNvPr id="20" name="Graphic 19" descr="Rupee with solid fill">
          <a:extLst>
            <a:ext uri="{FF2B5EF4-FFF2-40B4-BE49-F238E27FC236}">
              <a16:creationId xmlns:a16="http://schemas.microsoft.com/office/drawing/2014/main" id="{2B850135-210E-683B-0D4F-F5EB457BC9E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6402" y="1562099"/>
          <a:ext cx="219074" cy="219074"/>
        </a:xfrm>
        <a:prstGeom prst="rect">
          <a:avLst/>
        </a:prstGeom>
      </xdr:spPr>
    </xdr:pic>
    <xdr:clientData/>
  </xdr:twoCellAnchor>
  <xdr:twoCellAnchor editAs="oneCell">
    <xdr:from>
      <xdr:col>10</xdr:col>
      <xdr:colOff>257175</xdr:colOff>
      <xdr:row>4</xdr:row>
      <xdr:rowOff>161924</xdr:rowOff>
    </xdr:from>
    <xdr:to>
      <xdr:col>11</xdr:col>
      <xdr:colOff>133350</xdr:colOff>
      <xdr:row>7</xdr:row>
      <xdr:rowOff>76199</xdr:rowOff>
    </xdr:to>
    <xdr:pic>
      <xdr:nvPicPr>
        <xdr:cNvPr id="22" name="Graphic 21" descr="Bar graph with upward trend with solid fill">
          <a:extLst>
            <a:ext uri="{FF2B5EF4-FFF2-40B4-BE49-F238E27FC236}">
              <a16:creationId xmlns:a16="http://schemas.microsoft.com/office/drawing/2014/main" id="{39F5F36D-9327-8DEF-01FE-80090EA0C0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353175" y="923924"/>
          <a:ext cx="485775" cy="485775"/>
        </a:xfrm>
        <a:prstGeom prst="rect">
          <a:avLst/>
        </a:prstGeom>
      </xdr:spPr>
    </xdr:pic>
    <xdr:clientData/>
  </xdr:twoCellAnchor>
  <xdr:twoCellAnchor editAs="oneCell">
    <xdr:from>
      <xdr:col>11</xdr:col>
      <xdr:colOff>1600201</xdr:colOff>
      <xdr:row>4</xdr:row>
      <xdr:rowOff>161925</xdr:rowOff>
    </xdr:from>
    <xdr:to>
      <xdr:col>12</xdr:col>
      <xdr:colOff>19052</xdr:colOff>
      <xdr:row>7</xdr:row>
      <xdr:rowOff>38101</xdr:rowOff>
    </xdr:to>
    <xdr:pic>
      <xdr:nvPicPr>
        <xdr:cNvPr id="24" name="Graphic 23" descr="Checklist outline">
          <a:extLst>
            <a:ext uri="{FF2B5EF4-FFF2-40B4-BE49-F238E27FC236}">
              <a16:creationId xmlns:a16="http://schemas.microsoft.com/office/drawing/2014/main" id="{09698917-E976-BAA4-B1B8-2E133A5D7F7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305801" y="923925"/>
          <a:ext cx="447676" cy="447676"/>
        </a:xfrm>
        <a:prstGeom prst="rect">
          <a:avLst/>
        </a:prstGeom>
      </xdr:spPr>
    </xdr:pic>
    <xdr:clientData/>
  </xdr:twoCellAnchor>
  <xdr:twoCellAnchor editAs="oneCell">
    <xdr:from>
      <xdr:col>14</xdr:col>
      <xdr:colOff>190500</xdr:colOff>
      <xdr:row>4</xdr:row>
      <xdr:rowOff>123825</xdr:rowOff>
    </xdr:from>
    <xdr:to>
      <xdr:col>15</xdr:col>
      <xdr:colOff>95250</xdr:colOff>
      <xdr:row>7</xdr:row>
      <xdr:rowOff>66675</xdr:rowOff>
    </xdr:to>
    <xdr:pic>
      <xdr:nvPicPr>
        <xdr:cNvPr id="40" name="Graphic 39" descr="Male profile with solid fill">
          <a:extLst>
            <a:ext uri="{FF2B5EF4-FFF2-40B4-BE49-F238E27FC236}">
              <a16:creationId xmlns:a16="http://schemas.microsoft.com/office/drawing/2014/main" id="{6FD53C62-3804-C9E8-60BB-9149ED5F4AB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144125" y="885825"/>
          <a:ext cx="514350" cy="514350"/>
        </a:xfrm>
        <a:prstGeom prst="rect">
          <a:avLst/>
        </a:prstGeom>
      </xdr:spPr>
    </xdr:pic>
    <xdr:clientData/>
  </xdr:twoCellAnchor>
  <xdr:twoCellAnchor editAs="oneCell">
    <xdr:from>
      <xdr:col>17</xdr:col>
      <xdr:colOff>285750</xdr:colOff>
      <xdr:row>4</xdr:row>
      <xdr:rowOff>133349</xdr:rowOff>
    </xdr:from>
    <xdr:to>
      <xdr:col>18</xdr:col>
      <xdr:colOff>161925</xdr:colOff>
      <xdr:row>7</xdr:row>
      <xdr:rowOff>47624</xdr:rowOff>
    </xdr:to>
    <xdr:pic>
      <xdr:nvPicPr>
        <xdr:cNvPr id="42" name="Graphic 41" descr="Tax with solid fill">
          <a:extLst>
            <a:ext uri="{FF2B5EF4-FFF2-40B4-BE49-F238E27FC236}">
              <a16:creationId xmlns:a16="http://schemas.microsoft.com/office/drawing/2014/main" id="{A32F9C1A-485F-9650-34DE-2556AFC0362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068175" y="895349"/>
          <a:ext cx="485775" cy="485775"/>
        </a:xfrm>
        <a:prstGeom prst="rect">
          <a:avLst/>
        </a:prstGeom>
      </xdr:spPr>
    </xdr:pic>
    <xdr:clientData/>
  </xdr:twoCellAnchor>
  <xdr:twoCellAnchor editAs="oneCell">
    <xdr:from>
      <xdr:col>6</xdr:col>
      <xdr:colOff>95250</xdr:colOff>
      <xdr:row>13</xdr:row>
      <xdr:rowOff>9525</xdr:rowOff>
    </xdr:from>
    <xdr:to>
      <xdr:col>8</xdr:col>
      <xdr:colOff>28575</xdr:colOff>
      <xdr:row>21</xdr:row>
      <xdr:rowOff>19050</xdr:rowOff>
    </xdr:to>
    <mc:AlternateContent xmlns:mc="http://schemas.openxmlformats.org/markup-compatibility/2006">
      <mc:Choice xmlns:a14="http://schemas.microsoft.com/office/drawing/2010/main" Requires="a14">
        <xdr:graphicFrame macro="">
          <xdr:nvGraphicFramePr>
            <xdr:cNvPr id="43" name="Year">
              <a:extLst>
                <a:ext uri="{FF2B5EF4-FFF2-40B4-BE49-F238E27FC236}">
                  <a16:creationId xmlns:a16="http://schemas.microsoft.com/office/drawing/2014/main" id="{3D78304A-7848-4872-93C2-8F39D08022F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752850" y="2486025"/>
              <a:ext cx="1152525"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333375</xdr:colOff>
      <xdr:row>5</xdr:row>
      <xdr:rowOff>95250</xdr:rowOff>
    </xdr:from>
    <xdr:to>
      <xdr:col>7</xdr:col>
      <xdr:colOff>447675</xdr:colOff>
      <xdr:row>9</xdr:row>
      <xdr:rowOff>57150</xdr:rowOff>
    </xdr:to>
    <xdr:pic>
      <xdr:nvPicPr>
        <xdr:cNvPr id="45" name="Graphic 44" descr="Gramophone with solid fill">
          <a:extLst>
            <a:ext uri="{FF2B5EF4-FFF2-40B4-BE49-F238E27FC236}">
              <a16:creationId xmlns:a16="http://schemas.microsoft.com/office/drawing/2014/main" id="{9FF4FC94-BE2B-D89D-3E35-DDE3CECF301A}"/>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3990975" y="1047750"/>
          <a:ext cx="723900" cy="723900"/>
        </a:xfrm>
        <a:prstGeom prst="rect">
          <a:avLst/>
        </a:prstGeom>
      </xdr:spPr>
    </xdr:pic>
    <xdr:clientData/>
  </xdr:twoCellAnchor>
  <xdr:twoCellAnchor>
    <xdr:from>
      <xdr:col>6</xdr:col>
      <xdr:colOff>104775</xdr:colOff>
      <xdr:row>9</xdr:row>
      <xdr:rowOff>47625</xdr:rowOff>
    </xdr:from>
    <xdr:to>
      <xdr:col>8</xdr:col>
      <xdr:colOff>95250</xdr:colOff>
      <xdr:row>12</xdr:row>
      <xdr:rowOff>142875</xdr:rowOff>
    </xdr:to>
    <xdr:sp macro="" textlink="">
      <xdr:nvSpPr>
        <xdr:cNvPr id="46" name="TextBox 45">
          <a:extLst>
            <a:ext uri="{FF2B5EF4-FFF2-40B4-BE49-F238E27FC236}">
              <a16:creationId xmlns:a16="http://schemas.microsoft.com/office/drawing/2014/main" id="{6E7BC7FE-8E5E-0401-FF10-A00109FC559E}"/>
            </a:ext>
          </a:extLst>
        </xdr:cNvPr>
        <xdr:cNvSpPr txBox="1"/>
      </xdr:nvSpPr>
      <xdr:spPr>
        <a:xfrm>
          <a:off x="3762375" y="1762125"/>
          <a:ext cx="1209675"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tx1"/>
              </a:solidFill>
            </a:rPr>
            <a:t>MUSIC</a:t>
          </a:r>
          <a:r>
            <a:rPr lang="en-IN" sz="1100" b="1" baseline="0">
              <a:solidFill>
                <a:schemeClr val="tx1"/>
              </a:solidFill>
            </a:rPr>
            <a:t> INSTITUTE</a:t>
          </a:r>
        </a:p>
        <a:p>
          <a:r>
            <a:rPr lang="en-IN" sz="1100" b="1" baseline="0">
              <a:solidFill>
                <a:schemeClr val="tx1"/>
              </a:solidFill>
            </a:rPr>
            <a:t> SALES DASHBOARD</a:t>
          </a:r>
          <a:endParaRPr lang="en-IN" sz="1100" b="1">
            <a:solidFill>
              <a:schemeClr val="tx1"/>
            </a:solidFill>
          </a:endParaRPr>
        </a:p>
      </xdr:txBody>
    </xdr:sp>
    <xdr:clientData/>
  </xdr:twoCellAnchor>
  <xdr:twoCellAnchor>
    <xdr:from>
      <xdr:col>11</xdr:col>
      <xdr:colOff>676275</xdr:colOff>
      <xdr:row>16</xdr:row>
      <xdr:rowOff>66675</xdr:rowOff>
    </xdr:from>
    <xdr:to>
      <xdr:col>13</xdr:col>
      <xdr:colOff>447675</xdr:colOff>
      <xdr:row>19</xdr:row>
      <xdr:rowOff>114300</xdr:rowOff>
    </xdr:to>
    <xdr:sp macro="" textlink="">
      <xdr:nvSpPr>
        <xdr:cNvPr id="47" name="TextBox 46">
          <a:extLst>
            <a:ext uri="{FF2B5EF4-FFF2-40B4-BE49-F238E27FC236}">
              <a16:creationId xmlns:a16="http://schemas.microsoft.com/office/drawing/2014/main" id="{0873F1E6-8AA5-72C4-649C-9593C364B876}"/>
            </a:ext>
          </a:extLst>
        </xdr:cNvPr>
        <xdr:cNvSpPr txBox="1"/>
      </xdr:nvSpPr>
      <xdr:spPr>
        <a:xfrm>
          <a:off x="7381875" y="3114675"/>
          <a:ext cx="24098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Country wise</a:t>
          </a:r>
          <a:r>
            <a:rPr lang="en-IN" sz="1200" baseline="0"/>
            <a:t> Sales Comperison</a:t>
          </a:r>
          <a:endParaRPr lang="en-IN" sz="1200"/>
        </a:p>
      </xdr:txBody>
    </xdr:sp>
    <xdr:clientData/>
  </xdr:twoCellAnchor>
  <xdr:twoCellAnchor>
    <xdr:from>
      <xdr:col>10</xdr:col>
      <xdr:colOff>476250</xdr:colOff>
      <xdr:row>29</xdr:row>
      <xdr:rowOff>104775</xdr:rowOff>
    </xdr:from>
    <xdr:to>
      <xdr:col>12</xdr:col>
      <xdr:colOff>247650</xdr:colOff>
      <xdr:row>32</xdr:row>
      <xdr:rowOff>152400</xdr:rowOff>
    </xdr:to>
    <xdr:sp macro="" textlink="">
      <xdr:nvSpPr>
        <xdr:cNvPr id="48" name="TextBox 47">
          <a:extLst>
            <a:ext uri="{FF2B5EF4-FFF2-40B4-BE49-F238E27FC236}">
              <a16:creationId xmlns:a16="http://schemas.microsoft.com/office/drawing/2014/main" id="{7CD58B10-BFA6-E186-541A-75DDA7041B9D}"/>
            </a:ext>
          </a:extLst>
        </xdr:cNvPr>
        <xdr:cNvSpPr txBox="1"/>
      </xdr:nvSpPr>
      <xdr:spPr>
        <a:xfrm>
          <a:off x="6572250" y="5629275"/>
          <a:ext cx="2409825"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Age</a:t>
          </a:r>
          <a:r>
            <a:rPr lang="en-IN" sz="1200" baseline="0"/>
            <a:t> Group Wise Sales Comperison</a:t>
          </a:r>
          <a:endParaRPr lang="en-IN" sz="1200"/>
        </a:p>
      </xdr:txBody>
    </xdr:sp>
    <xdr:clientData/>
  </xdr:twoCellAnchor>
  <mc:AlternateContent xmlns:mc="http://schemas.openxmlformats.org/markup-compatibility/2006">
    <mc:Choice xmlns:a14="http://schemas.microsoft.com/office/drawing/2010/main" Requires="a14">
      <xdr:twoCellAnchor editAs="oneCell">
        <xdr:from>
          <xdr:col>8</xdr:col>
          <xdr:colOff>304801</xdr:colOff>
          <xdr:row>10</xdr:row>
          <xdr:rowOff>171589</xdr:rowOff>
        </xdr:from>
        <xdr:to>
          <xdr:col>14</xdr:col>
          <xdr:colOff>438150</xdr:colOff>
          <xdr:row>15</xdr:row>
          <xdr:rowOff>95250</xdr:rowOff>
        </xdr:to>
        <xdr:pic>
          <xdr:nvPicPr>
            <xdr:cNvPr id="51" name="Picture 50">
              <a:extLst>
                <a:ext uri="{FF2B5EF4-FFF2-40B4-BE49-F238E27FC236}">
                  <a16:creationId xmlns:a16="http://schemas.microsoft.com/office/drawing/2014/main" id="{C5050EAA-0245-FE2E-B6D7-C50326C7AFDD}"/>
                </a:ext>
              </a:extLst>
            </xdr:cNvPr>
            <xdr:cNvPicPr>
              <a:picLocks noChangeAspect="1" noChangeArrowheads="1"/>
              <a:extLst>
                <a:ext uri="{84589F7E-364E-4C9E-8A38-B11213B215E9}">
                  <a14:cameraTool cellRange="Sheet1!$L$22:$M$26" spid="_x0000_s1038"/>
                </a:ext>
              </a:extLst>
            </xdr:cNvPicPr>
          </xdr:nvPicPr>
          <xdr:blipFill>
            <a:blip xmlns:r="http://schemas.openxmlformats.org/officeDocument/2006/relationships" r:embed="rId17"/>
            <a:srcRect/>
            <a:stretch>
              <a:fillRect/>
            </a:stretch>
          </xdr:blipFill>
          <xdr:spPr bwMode="auto">
            <a:xfrm>
              <a:off x="5181601" y="2076589"/>
              <a:ext cx="5210174" cy="876161"/>
            </a:xfrm>
            <a:prstGeom prst="roundRect">
              <a:avLst>
                <a:gd name="adj" fmla="val 16667"/>
              </a:avLst>
            </a:prstGeom>
            <a:ln>
              <a:noFill/>
            </a:ln>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3981482" backgroundQuery="1" createdVersion="8" refreshedVersion="8" minRefreshableVersion="3" recordCount="0" supportSubquery="1" supportAdvancedDrill="1" xr:uid="{27132BBD-AB59-48BD-8C52-06551E3B265C}">
  <cacheSource type="external" connectionId="2"/>
  <cacheFields count="3">
    <cacheField name="[Measures].[Total Sales]" caption="Total Sales" numFmtId="0" hierarchy="31" level="32767"/>
    <cacheField name="[SF Trans Raw].[Country].[Country]" caption="Country" numFmtId="0" hierarchy="1" level="1">
      <sharedItems count="6">
        <s v="Australia"/>
        <s v="India"/>
        <s v="Singapore"/>
        <s v="UAE"/>
        <s v="UK"/>
        <s v="USA"/>
      </sharedItems>
    </cacheField>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2" memberValueDatatype="130" unbalanced="0">
      <fieldsUsage count="2">
        <fieldUsage x="-1"/>
        <fieldUsage x="1"/>
      </fieldsUsage>
    </cacheHierarchy>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0" memberValueDatatype="130" unbalanced="0"/>
    <cacheHierarchy uniqueName="[SF Trans Raw].[Age Group]" caption="Age Group" attribute="1" defaultMemberUniqueName="[SF Trans Raw].[Age Group].[All]" allUniqueName="[SF Trans Raw].[Age Group].[All]" dimensionUniqueName="[SF Trans Raw]" displayFolder="" count="0" memberValueDatatype="130" unbalanced="0"/>
    <cacheHierarchy uniqueName="[SF Trans Raw].[Course]" caption="Course" attribute="1" defaultMemberUniqueName="[SF Trans Raw].[Course].[All]" allUniqueName="[SF Trans Raw].[Course].[All]" dimensionUniqueName="[SF Trans Raw]" displayFolder="" count="0" memberValueDatatype="130" unbalanced="0"/>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0"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2"/>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cacheHierarchy uniqueName="[Measures].[Total Orders]" caption="Total Orders" measure="1" displayFolder="" measureGroup="SF Trans Raw" count="0"/>
    <cacheHierarchy uniqueName="[Measures].[Total Sales]" caption="Total Sales" measure="1" displayFolder="" measureGroup="SF Trans Raw" count="0" oneField="1">
      <fieldsUsage count="1">
        <fieldUsage x="0"/>
      </fieldsUsage>
    </cacheHierarchy>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4212966" backgroundQuery="1" createdVersion="8" refreshedVersion="8" minRefreshableVersion="3" recordCount="0" supportSubquery="1" supportAdvancedDrill="1" xr:uid="{0DA5A66F-F44D-4CD7-9970-2D21EFEEB80D}">
  <cacheSource type="external" connectionId="2"/>
  <cacheFields count="2">
    <cacheField name="[Measures].[Total Sales]" caption="Total Sales" numFmtId="0" hierarchy="31" level="32767"/>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0" memberValueDatatype="130" unbalanced="0"/>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0" memberValueDatatype="130" unbalanced="0"/>
    <cacheHierarchy uniqueName="[SF Trans Raw].[Age Group]" caption="Age Group" attribute="1" defaultMemberUniqueName="[SF Trans Raw].[Age Group].[All]" allUniqueName="[SF Trans Raw].[Age Group].[All]" dimensionUniqueName="[SF Trans Raw]" displayFolder="" count="0" memberValueDatatype="130" unbalanced="0"/>
    <cacheHierarchy uniqueName="[SF Trans Raw].[Course]" caption="Course" attribute="1" defaultMemberUniqueName="[SF Trans Raw].[Course].[All]" allUniqueName="[SF Trans Raw].[Course].[All]" dimensionUniqueName="[SF Trans Raw]" displayFolder="" count="0" memberValueDatatype="130" unbalanced="0"/>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0"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1"/>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cacheHierarchy uniqueName="[Measures].[Total Orders]" caption="Total Orders" measure="1" displayFolder="" measureGroup="SF Trans Raw" count="0"/>
    <cacheHierarchy uniqueName="[Measures].[Total Sales]" caption="Total Sales" measure="1" displayFolder="" measureGroup="SF Trans Raw" count="0" oneField="1">
      <fieldsUsage count="1">
        <fieldUsage x="0"/>
      </fieldsUsage>
    </cacheHierarchy>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4560182" backgroundQuery="1" createdVersion="8" refreshedVersion="8" minRefreshableVersion="3" recordCount="0" supportSubquery="1" supportAdvancedDrill="1" xr:uid="{E9363C14-6466-4CD4-8FE1-22D9C8D89B6A}">
  <cacheSource type="external" connectionId="2"/>
  <cacheFields count="2">
    <cacheField name="[Measures].[Total Orders]" caption="Total Orders" numFmtId="0" hierarchy="30" level="32767"/>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0" memberValueDatatype="130" unbalanced="0"/>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0" memberValueDatatype="130" unbalanced="0"/>
    <cacheHierarchy uniqueName="[SF Trans Raw].[Age Group]" caption="Age Group" attribute="1" defaultMemberUniqueName="[SF Trans Raw].[Age Group].[All]" allUniqueName="[SF Trans Raw].[Age Group].[All]" dimensionUniqueName="[SF Trans Raw]" displayFolder="" count="0" memberValueDatatype="130" unbalanced="0"/>
    <cacheHierarchy uniqueName="[SF Trans Raw].[Course]" caption="Course" attribute="1" defaultMemberUniqueName="[SF Trans Raw].[Course].[All]" allUniqueName="[SF Trans Raw].[Course].[All]" dimensionUniqueName="[SF Trans Raw]" displayFolder="" count="0" memberValueDatatype="130" unbalanced="0"/>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0"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1"/>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cacheHierarchy uniqueName="[Measures].[Total Orders]" caption="Total Orders" measure="1" displayFolder="" measureGroup="SF Trans Raw" count="0" oneField="1">
      <fieldsUsage count="1">
        <fieldUsage x="0"/>
      </fieldsUsage>
    </cacheHierarchy>
    <cacheHierarchy uniqueName="[Measures].[Total Sales]" caption="Total Sales" measure="1" displayFolder="" measureGroup="SF Trans Raw" count="0"/>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5717591" backgroundQuery="1" createdVersion="8" refreshedVersion="8" minRefreshableVersion="3" recordCount="0" supportSubquery="1" supportAdvancedDrill="1" xr:uid="{15F41E30-ED75-4565-BA26-43200C2A6263}">
  <cacheSource type="external" connectionId="2"/>
  <cacheFields count="3">
    <cacheField name="[SF Trans Raw].[Gender].[Gender]" caption="Gender" numFmtId="0" hierarchy="3" level="1">
      <sharedItems count="2">
        <s v="Female"/>
        <s v="Male"/>
      </sharedItems>
    </cacheField>
    <cacheField name="[Measures].[Total Customers]" caption="Total Customers" numFmtId="0" hierarchy="29" level="32767"/>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0" memberValueDatatype="130" unbalanced="0"/>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2" memberValueDatatype="130" unbalanced="0">
      <fieldsUsage count="2">
        <fieldUsage x="-1"/>
        <fieldUsage x="0"/>
      </fieldsUsage>
    </cacheHierarchy>
    <cacheHierarchy uniqueName="[SF Trans Raw].[Age Group]" caption="Age Group" attribute="1" defaultMemberUniqueName="[SF Trans Raw].[Age Group].[All]" allUniqueName="[SF Trans Raw].[Age Group].[All]" dimensionUniqueName="[SF Trans Raw]" displayFolder="" count="0" memberValueDatatype="130" unbalanced="0"/>
    <cacheHierarchy uniqueName="[SF Trans Raw].[Course]" caption="Course" attribute="1" defaultMemberUniqueName="[SF Trans Raw].[Course].[All]" allUniqueName="[SF Trans Raw].[Course].[All]" dimensionUniqueName="[SF Trans Raw]" displayFolder="" count="0" memberValueDatatype="130" unbalanced="0"/>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2"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2"/>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oneField="1">
      <fieldsUsage count="1">
        <fieldUsage x="1"/>
      </fieldsUsage>
    </cacheHierarchy>
    <cacheHierarchy uniqueName="[Measures].[Total Orders]" caption="Total Orders" measure="1" displayFolder="" measureGroup="SF Trans Raw" count="0"/>
    <cacheHierarchy uniqueName="[Measures].[Total Sales]" caption="Total Sales" measure="1" displayFolder="" measureGroup="SF Trans Raw" count="0"/>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5833337" backgroundQuery="1" createdVersion="8" refreshedVersion="8" minRefreshableVersion="3" recordCount="0" supportSubquery="1" supportAdvancedDrill="1" xr:uid="{E09782E9-9E66-4850-91F1-EFD7FFF9FF51}">
  <cacheSource type="external" connectionId="2"/>
  <cacheFields count="2">
    <cacheField name="[Measures].[Average order Value]" caption="Average order Value" numFmtId="0" hierarchy="32" level="32767"/>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0" memberValueDatatype="130" unbalanced="0"/>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0" memberValueDatatype="130" unbalanced="0"/>
    <cacheHierarchy uniqueName="[SF Trans Raw].[Age Group]" caption="Age Group" attribute="1" defaultMemberUniqueName="[SF Trans Raw].[Age Group].[All]" allUniqueName="[SF Trans Raw].[Age Group].[All]" dimensionUniqueName="[SF Trans Raw]" displayFolder="" count="0" memberValueDatatype="130" unbalanced="0"/>
    <cacheHierarchy uniqueName="[SF Trans Raw].[Course]" caption="Course" attribute="1" defaultMemberUniqueName="[SF Trans Raw].[Course].[All]" allUniqueName="[SF Trans Raw].[Course].[All]" dimensionUniqueName="[SF Trans Raw]" displayFolder="" count="0" memberValueDatatype="130" unbalanced="0"/>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0"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1"/>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cacheHierarchy uniqueName="[Measures].[Total Orders]" caption="Total Orders" measure="1" displayFolder="" measureGroup="SF Trans Raw" count="0"/>
    <cacheHierarchy uniqueName="[Measures].[Total Sales]" caption="Total Sales" measure="1" displayFolder="" measureGroup="SF Trans Raw" count="0"/>
    <cacheHierarchy uniqueName="[Measures].[Average order Value]" caption="Average order Value" measure="1" displayFolder="" measureGroup="SF Trans Raw" count="0" oneField="1">
      <fieldsUsage count="1">
        <fieldUsage x="0"/>
      </fieldsUsage>
    </cacheHierarchy>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6180553" backgroundQuery="1" createdVersion="8" refreshedVersion="8" minRefreshableVersion="3" recordCount="0" supportSubquery="1" supportAdvancedDrill="1" xr:uid="{79031EEF-9EC2-4476-A29C-34142BE5C0BF}">
  <cacheSource type="external" connectionId="2"/>
  <cacheFields count="2">
    <cacheField name="[Measures].[Total Customers]" caption="Total Customers" numFmtId="0" hierarchy="29" level="32767"/>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0" memberValueDatatype="130" unbalanced="0"/>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0" memberValueDatatype="130" unbalanced="0"/>
    <cacheHierarchy uniqueName="[SF Trans Raw].[Age Group]" caption="Age Group" attribute="1" defaultMemberUniqueName="[SF Trans Raw].[Age Group].[All]" allUniqueName="[SF Trans Raw].[Age Group].[All]" dimensionUniqueName="[SF Trans Raw]" displayFolder="" count="0" memberValueDatatype="130" unbalanced="0"/>
    <cacheHierarchy uniqueName="[SF Trans Raw].[Course]" caption="Course" attribute="1" defaultMemberUniqueName="[SF Trans Raw].[Course].[All]" allUniqueName="[SF Trans Raw].[Course].[All]" dimensionUniqueName="[SF Trans Raw]" displayFolder="" count="0" memberValueDatatype="130" unbalanced="0"/>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0"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1"/>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oneField="1">
      <fieldsUsage count="1">
        <fieldUsage x="0"/>
      </fieldsUsage>
    </cacheHierarchy>
    <cacheHierarchy uniqueName="[Measures].[Total Orders]" caption="Total Orders" measure="1" displayFolder="" measureGroup="SF Trans Raw" count="0"/>
    <cacheHierarchy uniqueName="[Measures].[Total Sales]" caption="Total Sales" measure="1" displayFolder="" measureGroup="SF Trans Raw" count="0"/>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6643522" backgroundQuery="1" createdVersion="8" refreshedVersion="8" minRefreshableVersion="3" recordCount="0" supportSubquery="1" supportAdvancedDrill="1" xr:uid="{5450041A-8AF6-432B-A491-3FB819FC5389}">
  <cacheSource type="external" connectionId="2"/>
  <cacheFields count="3">
    <cacheField name="[SF Trans Raw].[Age Group].[Age Group]" caption="Age Group" numFmtId="0" hierarchy="4" level="1">
      <sharedItems count="5">
        <s v="13-21"/>
        <s v="22-30"/>
        <s v="31-40"/>
        <s v="40+"/>
        <s v="6-12"/>
      </sharedItems>
    </cacheField>
    <cacheField name="[Measures].[Total Sales]" caption="Total Sales" numFmtId="0" hierarchy="31" level="32767"/>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0" memberValueDatatype="130" unbalanced="0"/>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0" memberValueDatatype="130" unbalanced="0"/>
    <cacheHierarchy uniqueName="[SF Trans Raw].[Age Group]" caption="Age Group" attribute="1" defaultMemberUniqueName="[SF Trans Raw].[Age Group].[All]" allUniqueName="[SF Trans Raw].[Age Group].[All]" dimensionUniqueName="[SF Trans Raw]" displayFolder="" count="2" memberValueDatatype="130" unbalanced="0">
      <fieldsUsage count="2">
        <fieldUsage x="-1"/>
        <fieldUsage x="0"/>
      </fieldsUsage>
    </cacheHierarchy>
    <cacheHierarchy uniqueName="[SF Trans Raw].[Course]" caption="Course" attribute="1" defaultMemberUniqueName="[SF Trans Raw].[Course].[All]" allUniqueName="[SF Trans Raw].[Course].[All]" dimensionUniqueName="[SF Trans Raw]" displayFolder="" count="0" memberValueDatatype="130" unbalanced="0"/>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0"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2"/>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cacheHierarchy uniqueName="[Measures].[Total Orders]" caption="Total Orders" measure="1" displayFolder="" measureGroup="SF Trans Raw" count="0"/>
    <cacheHierarchy uniqueName="[Measures].[Total Sales]" caption="Total Sales" measure="1" displayFolder="" measureGroup="SF Trans Raw" count="0" oneField="1">
      <fieldsUsage count="1">
        <fieldUsage x="1"/>
      </fieldsUsage>
    </cacheHierarchy>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7222223" backgroundQuery="1" createdVersion="8" refreshedVersion="8" minRefreshableVersion="3" recordCount="0" supportSubquery="1" supportAdvancedDrill="1" xr:uid="{0D8D252C-D798-4135-908C-43179DEF92E9}">
  <cacheSource type="external" connectionId="2"/>
  <cacheFields count="3">
    <cacheField name="[Measures].[Total National Sales]" caption="Total National Sales" numFmtId="0" hierarchy="35" level="32767"/>
    <cacheField name="[Measures].[Total International Sales]" caption="Total International Sales" numFmtId="0" hierarchy="36" level="32767"/>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0" memberValueDatatype="130" unbalanced="0"/>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2" memberValueDatatype="130" unbalanced="0"/>
    <cacheHierarchy uniqueName="[SF Trans Raw].[Age Group]" caption="Age Group" attribute="1" defaultMemberUniqueName="[SF Trans Raw].[Age Group].[All]" allUniqueName="[SF Trans Raw].[Age Group].[All]" dimensionUniqueName="[SF Trans Raw]" displayFolder="" count="0" memberValueDatatype="130" unbalanced="0"/>
    <cacheHierarchy uniqueName="[SF Trans Raw].[Course]" caption="Course" attribute="1" defaultMemberUniqueName="[SF Trans Raw].[Course].[All]" allUniqueName="[SF Trans Raw].[Course].[All]" dimensionUniqueName="[SF Trans Raw]" displayFolder="" count="0" memberValueDatatype="130" unbalanced="0"/>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2"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2"/>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cacheHierarchy uniqueName="[Measures].[Total Orders]" caption="Total Orders" measure="1" displayFolder="" measureGroup="SF Trans Raw" count="0"/>
    <cacheHierarchy uniqueName="[Measures].[Total Sales]" caption="Total Sales" measure="1" displayFolder="" measureGroup="SF Trans Raw" count="0"/>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oneField="1">
      <fieldsUsage count="1">
        <fieldUsage x="0"/>
      </fieldsUsage>
    </cacheHierarchy>
    <cacheHierarchy uniqueName="[Measures].[Total International Sales]" caption="Total International Sales" measure="1" displayFolder="" measureGroup="SF Trans Raw" count="0" oneField="1">
      <fieldsUsage count="1">
        <fieldUsage x="1"/>
      </fieldsUsage>
    </cacheHierarchy>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832897569446" backgroundQuery="1" createdVersion="8" refreshedVersion="8" minRefreshableVersion="3" recordCount="0" supportSubquery="1" supportAdvancedDrill="1" xr:uid="{2E4338F7-9535-41AA-8319-0E320F5887AC}">
  <cacheSource type="external" connectionId="2"/>
  <cacheFields count="3">
    <cacheField name="[SF Trans Raw].[Course].[Course]" caption="Course" numFmtId="0" hierarchy="5" level="1">
      <sharedItems count="3">
        <s v="Carnatic Classical"/>
        <s v="Hindi Film Music"/>
        <s v="Hindustani Classical"/>
      </sharedItems>
    </cacheField>
    <cacheField name="[Measures].[Total Customers]" caption="Total Customers" numFmtId="0" hierarchy="29" level="32767"/>
    <cacheField name="[SF Trans Raw].[Month].[Month]" caption="Month" numFmtId="0" hierarchy="24" level="1">
      <sharedItems containsSemiMixedTypes="0" containsNonDate="0" containsString="0"/>
    </cacheField>
  </cacheFields>
  <cacheHierarchies count="41">
    <cacheHierarchy uniqueName="[SF Trans Raw].[Last Name]" caption="Last Name" attribute="1" defaultMemberUniqueName="[SF Trans Raw].[Last Name].[All]" allUniqueName="[SF Trans Raw].[Last Name].[All]" dimensionUniqueName="[SF Trans Raw]" displayFolder="" count="0" memberValueDatatype="130" unbalanced="0"/>
    <cacheHierarchy uniqueName="[SF Trans Raw].[Country]" caption="Country" attribute="1" defaultMemberUniqueName="[SF Trans Raw].[Country].[All]" allUniqueName="[SF Trans Raw].[Country].[All]" dimensionUniqueName="[SF Trans Raw]" displayFolder="" count="0" memberValueDatatype="130" unbalanced="0"/>
    <cacheHierarchy uniqueName="[SF Trans Raw].[State/Province]" caption="State/Province" attribute="1" defaultMemberUniqueName="[SF Trans Raw].[State/Province].[All]" allUniqueName="[SF Trans Raw].[State/Province].[All]" dimensionUniqueName="[SF Trans Raw]" displayFolder="" count="0" memberValueDatatype="130" unbalanced="0"/>
    <cacheHierarchy uniqueName="[SF Trans Raw].[Gender]" caption="Gender" attribute="1" defaultMemberUniqueName="[SF Trans Raw].[Gender].[All]" allUniqueName="[SF Trans Raw].[Gender].[All]" dimensionUniqueName="[SF Trans Raw]" displayFolder="" count="2" memberValueDatatype="130" unbalanced="0"/>
    <cacheHierarchy uniqueName="[SF Trans Raw].[Age Group]" caption="Age Group" attribute="1" defaultMemberUniqueName="[SF Trans Raw].[Age Group].[All]" allUniqueName="[SF Trans Raw].[Age Group].[All]" dimensionUniqueName="[SF Trans Raw]" displayFolder="" count="0" memberValueDatatype="130" unbalanced="0"/>
    <cacheHierarchy uniqueName="[SF Trans Raw].[Course]" caption="Course" attribute="1" defaultMemberUniqueName="[SF Trans Raw].[Course].[All]" allUniqueName="[SF Trans Raw].[Course].[All]" dimensionUniqueName="[SF Trans Raw]" displayFolder="" count="2" memberValueDatatype="130" unbalanced="0">
      <fieldsUsage count="2">
        <fieldUsage x="-1"/>
        <fieldUsage x="0"/>
      </fieldsUsage>
    </cacheHierarchy>
    <cacheHierarchy uniqueName="[SF Trans Raw].[Lead Status]" caption="Lead Status" attribute="1" defaultMemberUniqueName="[SF Trans Raw].[Lead Status].[All]" allUniqueName="[SF Trans Raw].[Lead Status].[All]" dimensionUniqueName="[SF Trans Raw]" displayFolder="" count="0" memberValueDatatype="130" unbalanced="0"/>
    <cacheHierarchy uniqueName="[SF Trans Raw].[UTM Campaign]" caption="UTM Campaign" attribute="1" defaultMemberUniqueName="[SF Trans Raw].[UTM Campaign].[All]" allUniqueName="[SF Trans Raw].[UTM Campaign].[All]" dimensionUniqueName="[SF Trans Raw]" displayFolder="" count="0" memberValueDatatype="130" unbalanced="0"/>
    <cacheHierarchy uniqueName="[SF Trans Raw].[UTM Medium]" caption="UTM Medium" attribute="1" defaultMemberUniqueName="[SF Trans Raw].[UTM Medium].[All]" allUniqueName="[SF Trans Raw].[UTM Medium].[All]" dimensionUniqueName="[SF Trans Raw]" displayFolder="" count="0" memberValueDatatype="130" unbalanced="0"/>
    <cacheHierarchy uniqueName="[SF Trans Raw].[Demo Slot]" caption="Demo Slot" attribute="1" defaultMemberUniqueName="[SF Trans Raw].[Demo Slot].[All]" allUniqueName="[SF Trans Raw].[Demo Slot].[All]" dimensionUniqueName="[SF Trans Raw]" displayFolder="" count="0" memberValueDatatype="130" unbalanced="0"/>
    <cacheHierarchy uniqueName="[SF Trans Raw].[Time]" caption="Time" attribute="1" defaultMemberUniqueName="[SF Trans Raw].[Time].[All]" allUniqueName="[SF Trans Raw].[Time].[All]" dimensionUniqueName="[SF Trans Raw]" displayFolder="" count="0" memberValueDatatype="130" unbalanced="0"/>
    <cacheHierarchy uniqueName="[SF Trans Raw].[UTM Source]" caption="UTM Source" attribute="1" defaultMemberUniqueName="[SF Trans Raw].[UTM Source].[All]" allUniqueName="[SF Trans Raw].[UTM Source].[All]" dimensionUniqueName="[SF Trans Raw]" displayFolder="" count="0" memberValueDatatype="130" unbalanced="0"/>
    <cacheHierarchy uniqueName="[SF Trans Raw].[UTM_Content]" caption="UTM_Content" attribute="1" defaultMemberUniqueName="[SF Trans Raw].[UTM_Content].[All]" allUniqueName="[SF Trans Raw].[UTM_Content].[All]" dimensionUniqueName="[SF Trans Raw]" displayFolder="" count="0" memberValueDatatype="130" unbalanced="0"/>
    <cacheHierarchy uniqueName="[SF Trans Raw].[UTM_TERM]" caption="UTM_TERM" attribute="1" defaultMemberUniqueName="[SF Trans Raw].[UTM_TERM].[All]" allUniqueName="[SF Trans Raw].[UTM_TERM].[All]" dimensionUniqueName="[SF Trans Raw]" displayFolder="" count="0" memberValueDatatype="130" unbalanced="0"/>
    <cacheHierarchy uniqueName="[SF Trans Raw].[UTM_Audience]" caption="UTM_Audience" attribute="1" defaultMemberUniqueName="[SF Trans Raw].[UTM_Audience].[All]" allUniqueName="[SF Trans Raw].[UTM_Audience].[All]" dimensionUniqueName="[SF Trans Raw]" displayFolder="" count="0" memberValueDatatype="130" unbalanced="0"/>
    <cacheHierarchy uniqueName="[SF Trans Raw].[UTM_Placement]" caption="UTM_Placement" attribute="1" defaultMemberUniqueName="[SF Trans Raw].[UTM_Placement].[All]" allUniqueName="[SF Trans Raw].[UTM_Placement].[All]" dimensionUniqueName="[SF Trans Raw]" displayFolder="" count="0" memberValueDatatype="130" unbalanced="0"/>
    <cacheHierarchy uniqueName="[SF Trans Raw].[Phone]" caption="Phone" attribute="1" defaultMemberUniqueName="[SF Trans Raw].[Phone].[All]" allUniqueName="[SF Trans Raw].[Phone].[All]" dimensionUniqueName="[SF Trans Raw]" displayFolder="" count="0" memberValueDatatype="130" unbalanced="0"/>
    <cacheHierarchy uniqueName="[SF Trans Raw].[Currency]" caption="Currency" attribute="1" defaultMemberUniqueName="[SF Trans Raw].[Currency].[All]" allUniqueName="[SF Trans Raw].[Currency].[All]" dimensionUniqueName="[SF Trans Raw]" displayFolder="" count="0" memberValueDatatype="130" unbalanced="0"/>
    <cacheHierarchy uniqueName="[SF Trans Raw].[Total]" caption="Total" attribute="1" defaultMemberUniqueName="[SF Trans Raw].[Total].[All]" allUniqueName="[SF Trans Raw].[Total].[All]" dimensionUniqueName="[SF Trans Raw]" displayFolder="" count="2" memberValueDatatype="20" unbalanced="0"/>
    <cacheHierarchy uniqueName="[SF Trans Raw].[Total (converted)]" caption="Total (converted)" attribute="1" defaultMemberUniqueName="[SF Trans Raw].[Total (converted)].[All]" allUniqueName="[SF Trans Raw].[Total (converted)].[All]" dimensionUniqueName="[SF Trans Raw]" displayFolder="" count="0" memberValueDatatype="20" unbalanced="0"/>
    <cacheHierarchy uniqueName="[SF Trans Raw].[Lead Currency]" caption="Lead Currency" attribute="1" defaultMemberUniqueName="[SF Trans Raw].[Lead Currency].[All]" allUniqueName="[SF Trans Raw].[Lead Currency].[All]" dimensionUniqueName="[SF Trans Raw]" displayFolder="" count="0" memberValueDatatype="130" unbalanced="0"/>
    <cacheHierarchy uniqueName="[SF Trans Raw].[Email]" caption="Email" attribute="1" defaultMemberUniqueName="[SF Trans Raw].[Email].[All]" allUniqueName="[SF Trans Raw].[Email].[All]" dimensionUniqueName="[SF Trans Raw]" displayFolder="" count="0" memberValueDatatype="130" unbalanced="0"/>
    <cacheHierarchy uniqueName="[SF Trans Raw].[Revenue]" caption="Revenue" attribute="1" defaultMemberUniqueName="[SF Trans Raw].[Revenue].[All]" allUniqueName="[SF Trans Raw].[Revenue].[All]" dimensionUniqueName="[SF Trans Raw]" displayFolder="" count="0"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fieldsUsage count="2">
        <fieldUsage x="-1"/>
        <fieldUsage x="2"/>
      </fieldsUsage>
    </cacheHierarchy>
    <cacheHierarchy uniqueName="[SF Trans Raw].[Day]" caption="Day" attribute="1" defaultMemberUniqueName="[SF Trans Raw].[Day].[All]" allUniqueName="[SF Trans Raw].[Day].[All]" dimensionUniqueName="[SF Trans Raw]" displayFolder="" count="0"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2"/>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19"/>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8"/>
        </ext>
      </extLst>
    </cacheHierarchy>
    <cacheHierarchy uniqueName="[Measures].[Total Customers]" caption="Total Customers" measure="1" displayFolder="" measureGroup="SF Trans Raw" count="0" oneField="1">
      <fieldsUsage count="1">
        <fieldUsage x="1"/>
      </fieldsUsage>
    </cacheHierarchy>
    <cacheHierarchy uniqueName="[Measures].[Total Orders]" caption="Total Orders" measure="1" displayFolder="" measureGroup="SF Trans Raw" count="0"/>
    <cacheHierarchy uniqueName="[Measures].[Total Sales]" caption="Total Sales" measure="1" displayFolder="" measureGroup="SF Trans Raw" count="0"/>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686100925923" backgroundQuery="1" createdVersion="3" refreshedVersion="8" minRefreshableVersion="3" recordCount="0" supportSubquery="1" supportAdvancedDrill="1" xr:uid="{F98752F2-86E0-466B-AF53-7F014C7DFC93}">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Measures]" caption="Measures" attribute="1" keyAttribute="1" defaultMemberUniqueName="[Measures].[__No measures defined]" dimensionUniqueName="[Measures]" displayFolder="" measures="1" count="1" memberValueDatatype="130" unbalanced="0"/>
    <cacheHierarchy uniqueName="[SF Trans Raw].[Last Name]" caption="Last Name" attribute="1" defaultMemberUniqueName="[SF Trans Raw].[Last Name].[All]" allUniqueName="[SF Trans Raw].[Last Name].[All]" dimensionUniqueName="[SF Trans Raw]" displayFolder="" count="2" memberValueDatatype="130" unbalanced="0"/>
    <cacheHierarchy uniqueName="[SF Trans Raw].[Country]" caption="Country" attribute="1" defaultMemberUniqueName="[SF Trans Raw].[Country].[All]" allUniqueName="[SF Trans Raw].[Country].[All]" dimensionUniqueName="[SF Trans Raw]" displayFolder="" count="2" memberValueDatatype="130" unbalanced="0"/>
    <cacheHierarchy uniqueName="[SF Trans Raw].[State/Province]" caption="State/Province" attribute="1" defaultMemberUniqueName="[SF Trans Raw].[State/Province].[All]" allUniqueName="[SF Trans Raw].[State/Province].[All]" dimensionUniqueName="[SF Trans Raw]" displayFolder="" count="2" memberValueDatatype="130" unbalanced="0"/>
    <cacheHierarchy uniqueName="[SF Trans Raw].[Gender]" caption="Gender" attribute="1" defaultMemberUniqueName="[SF Trans Raw].[Gender].[All]" allUniqueName="[SF Trans Raw].[Gender].[All]" dimensionUniqueName="[SF Trans Raw]" displayFolder="" count="2" memberValueDatatype="130" unbalanced="0"/>
    <cacheHierarchy uniqueName="[SF Trans Raw].[Age Group]" caption="Age Group" attribute="1" defaultMemberUniqueName="[SF Trans Raw].[Age Group].[All]" allUniqueName="[SF Trans Raw].[Age Group].[All]" dimensionUniqueName="[SF Trans Raw]" displayFolder="" count="2" memberValueDatatype="130" unbalanced="0"/>
    <cacheHierarchy uniqueName="[SF Trans Raw].[Course]" caption="Course" attribute="1" defaultMemberUniqueName="[SF Trans Raw].[Course].[All]" allUniqueName="[SF Trans Raw].[Course].[All]" dimensionUniqueName="[SF Trans Raw]" displayFolder="" count="2" memberValueDatatype="130" unbalanced="0"/>
    <cacheHierarchy uniqueName="[SF Trans Raw].[Lead Status]" caption="Lead Status" attribute="1" defaultMemberUniqueName="[SF Trans Raw].[Lead Status].[All]" allUniqueName="[SF Trans Raw].[Lead Status].[All]" dimensionUniqueName="[SF Trans Raw]" displayFolder="" count="2" memberValueDatatype="130" unbalanced="0"/>
    <cacheHierarchy uniqueName="[SF Trans Raw].[UTM Campaign]" caption="UTM Campaign" attribute="1" defaultMemberUniqueName="[SF Trans Raw].[UTM Campaign].[All]" allUniqueName="[SF Trans Raw].[UTM Campaign].[All]" dimensionUniqueName="[SF Trans Raw]" displayFolder="" count="2" memberValueDatatype="130" unbalanced="0"/>
    <cacheHierarchy uniqueName="[SF Trans Raw].[UTM Medium]" caption="UTM Medium" attribute="1" defaultMemberUniqueName="[SF Trans Raw].[UTM Medium].[All]" allUniqueName="[SF Trans Raw].[UTM Medium].[All]" dimensionUniqueName="[SF Trans Raw]" displayFolder="" count="2" memberValueDatatype="130" unbalanced="0"/>
    <cacheHierarchy uniqueName="[SF Trans Raw].[Demo Slot]" caption="Demo Slot" attribute="1" defaultMemberUniqueName="[SF Trans Raw].[Demo Slot].[All]" allUniqueName="[SF Trans Raw].[Demo Slot].[All]" dimensionUniqueName="[SF Trans Raw]" displayFolder="" count="2" memberValueDatatype="130" unbalanced="0"/>
    <cacheHierarchy uniqueName="[SF Trans Raw].[Time]" caption="Time" attribute="1" defaultMemberUniqueName="[SF Trans Raw].[Time].[All]" allUniqueName="[SF Trans Raw].[Time].[All]" dimensionUniqueName="[SF Trans Raw]" displayFolder="" count="2" memberValueDatatype="130" unbalanced="0"/>
    <cacheHierarchy uniqueName="[SF Trans Raw].[UTM Source]" caption="UTM Source" attribute="1" defaultMemberUniqueName="[SF Trans Raw].[UTM Source].[All]" allUniqueName="[SF Trans Raw].[UTM Source].[All]" dimensionUniqueName="[SF Trans Raw]" displayFolder="" count="2" memberValueDatatype="130" unbalanced="0"/>
    <cacheHierarchy uniqueName="[SF Trans Raw].[UTM_Content]" caption="UTM_Content" attribute="1" defaultMemberUniqueName="[SF Trans Raw].[UTM_Content].[All]" allUniqueName="[SF Trans Raw].[UTM_Content].[All]" dimensionUniqueName="[SF Trans Raw]" displayFolder="" count="2" memberValueDatatype="130" unbalanced="0"/>
    <cacheHierarchy uniqueName="[SF Trans Raw].[UTM_TERM]" caption="UTM_TERM" attribute="1" defaultMemberUniqueName="[SF Trans Raw].[UTM_TERM].[All]" allUniqueName="[SF Trans Raw].[UTM_TERM].[All]" dimensionUniqueName="[SF Trans Raw]" displayFolder="" count="2" memberValueDatatype="130" unbalanced="0"/>
    <cacheHierarchy uniqueName="[SF Trans Raw].[UTM_Audience]" caption="UTM_Audience" attribute="1" defaultMemberUniqueName="[SF Trans Raw].[UTM_Audience].[All]" allUniqueName="[SF Trans Raw].[UTM_Audience].[All]" dimensionUniqueName="[SF Trans Raw]" displayFolder="" count="2" memberValueDatatype="130" unbalanced="0"/>
    <cacheHierarchy uniqueName="[SF Trans Raw].[UTM_Placement]" caption="UTM_Placement" attribute="1" defaultMemberUniqueName="[SF Trans Raw].[UTM_Placement].[All]" allUniqueName="[SF Trans Raw].[UTM_Placement].[All]" dimensionUniqueName="[SF Trans Raw]" displayFolder="" count="2" memberValueDatatype="130" unbalanced="0"/>
    <cacheHierarchy uniqueName="[SF Trans Raw].[Phone]" caption="Phone" attribute="1" defaultMemberUniqueName="[SF Trans Raw].[Phone].[All]" allUniqueName="[SF Trans Raw].[Phone].[All]" dimensionUniqueName="[SF Trans Raw]" displayFolder="" count="2" memberValueDatatype="130" unbalanced="0"/>
    <cacheHierarchy uniqueName="[SF Trans Raw].[Currency]" caption="Currency" attribute="1" defaultMemberUniqueName="[SF Trans Raw].[Currency].[All]" allUniqueName="[SF Trans Raw].[Currency].[All]" dimensionUniqueName="[SF Trans Raw]" displayFolder="" count="2" memberValueDatatype="130" unbalanced="0"/>
    <cacheHierarchy uniqueName="[SF Trans Raw].[Total]" caption="Total" attribute="1" defaultMemberUniqueName="[SF Trans Raw].[Total].[All]" allUniqueName="[SF Trans Raw].[Total].[All]" dimensionUniqueName="[SF Trans Raw]" displayFolder="" count="2" memberValueDatatype="20" unbalanced="0"/>
    <cacheHierarchy uniqueName="[SF Trans Raw].[Total (converted)]" caption="Total (converted)" attribute="1" defaultMemberUniqueName="[SF Trans Raw].[Total (converted)].[All]" allUniqueName="[SF Trans Raw].[Total (converted)].[All]" dimensionUniqueName="[SF Trans Raw]" displayFolder="" count="2" memberValueDatatype="20" unbalanced="0"/>
    <cacheHierarchy uniqueName="[SF Trans Raw].[Lead Currency]" caption="Lead Currency" attribute="1" defaultMemberUniqueName="[SF Trans Raw].[Lead Currency].[All]" allUniqueName="[SF Trans Raw].[Lead Currency].[All]" dimensionUniqueName="[SF Trans Raw]" displayFolder="" count="2" memberValueDatatype="130" unbalanced="0"/>
    <cacheHierarchy uniqueName="[SF Trans Raw].[Email]" caption="Email" attribute="1" defaultMemberUniqueName="[SF Trans Raw].[Email].[All]" allUniqueName="[SF Trans Raw].[Email].[All]" dimensionUniqueName="[SF Trans Raw]" displayFolder="" count="2" memberValueDatatype="130" unbalanced="0"/>
    <cacheHierarchy uniqueName="[SF Trans Raw].[Revenue]" caption="Revenue" attribute="1" defaultMemberUniqueName="[SF Trans Raw].[Revenue].[All]" allUniqueName="[SF Trans Raw].[Revenue].[All]" dimensionUniqueName="[SF Trans Raw]" displayFolder="" count="2"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cacheHierarchy uniqueName="[SF Trans Raw].[Day]" caption="Day" attribute="1" defaultMemberUniqueName="[SF Trans Raw].[Day].[All]" allUniqueName="[SF Trans Raw].[Day].[All]" dimensionUniqueName="[SF Trans Raw]" displayFolder="" count="2"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3"/>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20"/>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SF Trans Raw" count="0"/>
    <cacheHierarchy uniqueName="[Measures].[Total Orders]" caption="Total Orders" measure="1" displayFolder="" measureGroup="SF Trans Raw" count="0"/>
    <cacheHierarchy uniqueName="[Measures].[Total Sales]" caption="Total Sales" measure="1" displayFolder="" measureGroup="SF Trans Raw" count="0"/>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licerData="1" pivotCacheId="10342999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92.721696064815" backgroundQuery="1" createdVersion="3" refreshedVersion="8" minRefreshableVersion="3" recordCount="0" supportSubquery="1" supportAdvancedDrill="1" xr:uid="{662437FA-917F-475B-9D79-10FB97D0D61A}">
  <cacheSource type="external" connectionId="2">
    <extLst>
      <ext xmlns:x14="http://schemas.microsoft.com/office/spreadsheetml/2009/9/main" uri="{F057638F-6D5F-4e77-A914-E7F072B9BCA8}">
        <x14:sourceConnection name="ThisWorkbookDataModel"/>
      </ext>
    </extLst>
  </cacheSource>
  <cacheFields count="0"/>
  <cacheHierarchies count="42">
    <cacheHierarchy uniqueName="[Measures]" caption="Measures" attribute="1" keyAttribute="1" defaultMemberUniqueName="[Measures].[__No measures defined]" dimensionUniqueName="[Measures]" displayFolder="" measures="1" count="1" memberValueDatatype="130" unbalanced="0"/>
    <cacheHierarchy uniqueName="[SF Trans Raw].[Last Name]" caption="Last Name" attribute="1" defaultMemberUniqueName="[SF Trans Raw].[Last Name].[All]" allUniqueName="[SF Trans Raw].[Last Name].[All]" dimensionUniqueName="[SF Trans Raw]" displayFolder="" count="2" memberValueDatatype="130" unbalanced="0"/>
    <cacheHierarchy uniqueName="[SF Trans Raw].[Country]" caption="Country" attribute="1" defaultMemberUniqueName="[SF Trans Raw].[Country].[All]" allUniqueName="[SF Trans Raw].[Country].[All]" dimensionUniqueName="[SF Trans Raw]" displayFolder="" count="2" memberValueDatatype="130" unbalanced="0"/>
    <cacheHierarchy uniqueName="[SF Trans Raw].[State/Province]" caption="State/Province" attribute="1" defaultMemberUniqueName="[SF Trans Raw].[State/Province].[All]" allUniqueName="[SF Trans Raw].[State/Province].[All]" dimensionUniqueName="[SF Trans Raw]" displayFolder="" count="2" memberValueDatatype="130" unbalanced="0"/>
    <cacheHierarchy uniqueName="[SF Trans Raw].[Gender]" caption="Gender" attribute="1" defaultMemberUniqueName="[SF Trans Raw].[Gender].[All]" allUniqueName="[SF Trans Raw].[Gender].[All]" dimensionUniqueName="[SF Trans Raw]" displayFolder="" count="2" memberValueDatatype="130" unbalanced="0"/>
    <cacheHierarchy uniqueName="[SF Trans Raw].[Age Group]" caption="Age Group" attribute="1" defaultMemberUniqueName="[SF Trans Raw].[Age Group].[All]" allUniqueName="[SF Trans Raw].[Age Group].[All]" dimensionUniqueName="[SF Trans Raw]" displayFolder="" count="2" memberValueDatatype="130" unbalanced="0"/>
    <cacheHierarchy uniqueName="[SF Trans Raw].[Course]" caption="Course" attribute="1" defaultMemberUniqueName="[SF Trans Raw].[Course].[All]" allUniqueName="[SF Trans Raw].[Course].[All]" dimensionUniqueName="[SF Trans Raw]" displayFolder="" count="2" memberValueDatatype="130" unbalanced="0"/>
    <cacheHierarchy uniqueName="[SF Trans Raw].[Lead Status]" caption="Lead Status" attribute="1" defaultMemberUniqueName="[SF Trans Raw].[Lead Status].[All]" allUniqueName="[SF Trans Raw].[Lead Status].[All]" dimensionUniqueName="[SF Trans Raw]" displayFolder="" count="2" memberValueDatatype="130" unbalanced="0"/>
    <cacheHierarchy uniqueName="[SF Trans Raw].[UTM Campaign]" caption="UTM Campaign" attribute="1" defaultMemberUniqueName="[SF Trans Raw].[UTM Campaign].[All]" allUniqueName="[SF Trans Raw].[UTM Campaign].[All]" dimensionUniqueName="[SF Trans Raw]" displayFolder="" count="2" memberValueDatatype="130" unbalanced="0"/>
    <cacheHierarchy uniqueName="[SF Trans Raw].[UTM Medium]" caption="UTM Medium" attribute="1" defaultMemberUniqueName="[SF Trans Raw].[UTM Medium].[All]" allUniqueName="[SF Trans Raw].[UTM Medium].[All]" dimensionUniqueName="[SF Trans Raw]" displayFolder="" count="2" memberValueDatatype="130" unbalanced="0"/>
    <cacheHierarchy uniqueName="[SF Trans Raw].[Demo Slot]" caption="Demo Slot" attribute="1" defaultMemberUniqueName="[SF Trans Raw].[Demo Slot].[All]" allUniqueName="[SF Trans Raw].[Demo Slot].[All]" dimensionUniqueName="[SF Trans Raw]" displayFolder="" count="2" memberValueDatatype="130" unbalanced="0"/>
    <cacheHierarchy uniqueName="[SF Trans Raw].[Time]" caption="Time" attribute="1" defaultMemberUniqueName="[SF Trans Raw].[Time].[All]" allUniqueName="[SF Trans Raw].[Time].[All]" dimensionUniqueName="[SF Trans Raw]" displayFolder="" count="2" memberValueDatatype="130" unbalanced="0"/>
    <cacheHierarchy uniqueName="[SF Trans Raw].[UTM Source]" caption="UTM Source" attribute="1" defaultMemberUniqueName="[SF Trans Raw].[UTM Source].[All]" allUniqueName="[SF Trans Raw].[UTM Source].[All]" dimensionUniqueName="[SF Trans Raw]" displayFolder="" count="2" memberValueDatatype="130" unbalanced="0"/>
    <cacheHierarchy uniqueName="[SF Trans Raw].[UTM_Content]" caption="UTM_Content" attribute="1" defaultMemberUniqueName="[SF Trans Raw].[UTM_Content].[All]" allUniqueName="[SF Trans Raw].[UTM_Content].[All]" dimensionUniqueName="[SF Trans Raw]" displayFolder="" count="2" memberValueDatatype="130" unbalanced="0"/>
    <cacheHierarchy uniqueName="[SF Trans Raw].[UTM_TERM]" caption="UTM_TERM" attribute="1" defaultMemberUniqueName="[SF Trans Raw].[UTM_TERM].[All]" allUniqueName="[SF Trans Raw].[UTM_TERM].[All]" dimensionUniqueName="[SF Trans Raw]" displayFolder="" count="2" memberValueDatatype="130" unbalanced="0"/>
    <cacheHierarchy uniqueName="[SF Trans Raw].[UTM_Audience]" caption="UTM_Audience" attribute="1" defaultMemberUniqueName="[SF Trans Raw].[UTM_Audience].[All]" allUniqueName="[SF Trans Raw].[UTM_Audience].[All]" dimensionUniqueName="[SF Trans Raw]" displayFolder="" count="2" memberValueDatatype="130" unbalanced="0"/>
    <cacheHierarchy uniqueName="[SF Trans Raw].[UTM_Placement]" caption="UTM_Placement" attribute="1" defaultMemberUniqueName="[SF Trans Raw].[UTM_Placement].[All]" allUniqueName="[SF Trans Raw].[UTM_Placement].[All]" dimensionUniqueName="[SF Trans Raw]" displayFolder="" count="2" memberValueDatatype="130" unbalanced="0"/>
    <cacheHierarchy uniqueName="[SF Trans Raw].[Phone]" caption="Phone" attribute="1" defaultMemberUniqueName="[SF Trans Raw].[Phone].[All]" allUniqueName="[SF Trans Raw].[Phone].[All]" dimensionUniqueName="[SF Trans Raw]" displayFolder="" count="2" memberValueDatatype="130" unbalanced="0"/>
    <cacheHierarchy uniqueName="[SF Trans Raw].[Currency]" caption="Currency" attribute="1" defaultMemberUniqueName="[SF Trans Raw].[Currency].[All]" allUniqueName="[SF Trans Raw].[Currency].[All]" dimensionUniqueName="[SF Trans Raw]" displayFolder="" count="2" memberValueDatatype="130" unbalanced="0"/>
    <cacheHierarchy uniqueName="[SF Trans Raw].[Total]" caption="Total" attribute="1" defaultMemberUniqueName="[SF Trans Raw].[Total].[All]" allUniqueName="[SF Trans Raw].[Total].[All]" dimensionUniqueName="[SF Trans Raw]" displayFolder="" count="2" memberValueDatatype="20" unbalanced="0"/>
    <cacheHierarchy uniqueName="[SF Trans Raw].[Total (converted)]" caption="Total (converted)" attribute="1" defaultMemberUniqueName="[SF Trans Raw].[Total (converted)].[All]" allUniqueName="[SF Trans Raw].[Total (converted)].[All]" dimensionUniqueName="[SF Trans Raw]" displayFolder="" count="2" memberValueDatatype="20" unbalanced="0"/>
    <cacheHierarchy uniqueName="[SF Trans Raw].[Lead Currency]" caption="Lead Currency" attribute="1" defaultMemberUniqueName="[SF Trans Raw].[Lead Currency].[All]" allUniqueName="[SF Trans Raw].[Lead Currency].[All]" dimensionUniqueName="[SF Trans Raw]" displayFolder="" count="2" memberValueDatatype="130" unbalanced="0"/>
    <cacheHierarchy uniqueName="[SF Trans Raw].[Email]" caption="Email" attribute="1" defaultMemberUniqueName="[SF Trans Raw].[Email].[All]" allUniqueName="[SF Trans Raw].[Email].[All]" dimensionUniqueName="[SF Trans Raw]" displayFolder="" count="2" memberValueDatatype="130" unbalanced="0"/>
    <cacheHierarchy uniqueName="[SF Trans Raw].[Revenue]" caption="Revenue" attribute="1" defaultMemberUniqueName="[SF Trans Raw].[Revenue].[All]" allUniqueName="[SF Trans Raw].[Revenue].[All]" dimensionUniqueName="[SF Trans Raw]" displayFolder="" count="2" memberValueDatatype="20" unbalanced="0"/>
    <cacheHierarchy uniqueName="[SF Trans Raw].[Year]" caption="Year" attribute="1" defaultMemberUniqueName="[SF Trans Raw].[Year].[All]" allUniqueName="[SF Trans Raw].[Year].[All]" dimensionUniqueName="[SF Trans Raw]" displayFolder="" count="2" memberValueDatatype="20" unbalanced="0"/>
    <cacheHierarchy uniqueName="[SF Trans Raw].[Month]" caption="Month" attribute="1" defaultMemberUniqueName="[SF Trans Raw].[Month].[All]" allUniqueName="[SF Trans Raw].[Month].[All]" dimensionUniqueName="[SF Trans Raw]" displayFolder="" count="2" memberValueDatatype="20" unbalanced="0"/>
    <cacheHierarchy uniqueName="[SF Trans Raw].[Day]" caption="Day" attribute="1" defaultMemberUniqueName="[SF Trans Raw].[Day].[All]" allUniqueName="[SF Trans Raw].[Day].[All]" dimensionUniqueName="[SF Trans Raw]" displayFolder="" count="2" memberValueDatatype="20" unbalanced="0"/>
    <cacheHierarchy uniqueName="[Measures].[Sum of Revenue]" caption="Sum of Revenue" measure="1" displayFolder="" measureGroup="SF Trans Raw" count="0">
      <extLst>
        <ext xmlns:x15="http://schemas.microsoft.com/office/spreadsheetml/2010/11/main" uri="{B97F6D7D-B522-45F9-BDA1-12C45D357490}">
          <x15:cacheHierarchy aggregatedColumn="23"/>
        </ext>
      </extLst>
    </cacheHierarchy>
    <cacheHierarchy uniqueName="[Measures].[Sum of Total (converted)]" caption="Sum of Total (converted)" measure="1" displayFolder="" measureGroup="SF Trans Raw" count="0">
      <extLst>
        <ext xmlns:x15="http://schemas.microsoft.com/office/spreadsheetml/2010/11/main" uri="{B97F6D7D-B522-45F9-BDA1-12C45D357490}">
          <x15:cacheHierarchy aggregatedColumn="20"/>
        </ext>
      </extLst>
    </cacheHierarchy>
    <cacheHierarchy uniqueName="[Measures].[Sum of Total]" caption="Sum of Total" measure="1" displayFolder="" measureGroup="SF Trans Raw" count="0">
      <extLst>
        <ext xmlns:x15="http://schemas.microsoft.com/office/spreadsheetml/2010/11/main" uri="{B97F6D7D-B522-45F9-BDA1-12C45D357490}">
          <x15:cacheHierarchy aggregatedColumn="19"/>
        </ext>
      </extLst>
    </cacheHierarchy>
    <cacheHierarchy uniqueName="[Measures].[Total Customers]" caption="Total Customers" measure="1" displayFolder="" measureGroup="SF Trans Raw" count="0"/>
    <cacheHierarchy uniqueName="[Measures].[Total Orders]" caption="Total Orders" measure="1" displayFolder="" measureGroup="SF Trans Raw" count="0"/>
    <cacheHierarchy uniqueName="[Measures].[Total Sales]" caption="Total Sales" measure="1" displayFolder="" measureGroup="SF Trans Raw" count="0"/>
    <cacheHierarchy uniqueName="[Measures].[Average order Value]" caption="Average order Value" measure="1" displayFolder="" measureGroup="SF Trans Raw" count="0"/>
    <cacheHierarchy uniqueName="[Measures].[Female total sale]" caption="Female total sale" measure="1" displayFolder="" measureGroup="SF Trans Raw" count="0"/>
    <cacheHierarchy uniqueName="[Measures].[Male Total Sale]" caption="Male Total Sale" measure="1" displayFolder="" measureGroup="SF Trans Raw" count="0"/>
    <cacheHierarchy uniqueName="[Measures].[Total National Sales]" caption="Total National Sales" measure="1" displayFolder="" measureGroup="SF Trans Raw" count="0"/>
    <cacheHierarchy uniqueName="[Measures].[Total International Sales]" caption="Total International Sales" measure="1" displayFolder="" measureGroup="SF Trans Raw" count="0"/>
    <cacheHierarchy uniqueName="[Measures].[Male Sales percentage]" caption="Male Sales percentage" measure="1" displayFolder="" measureGroup="SF Trans Raw" count="0"/>
    <cacheHierarchy uniqueName="[Measures].[Female sales percentage]" caption="Female sales percentage" measure="1" displayFolder="" measureGroup="SF Trans Raw" count="0"/>
    <cacheHierarchy uniqueName="[Measures].[__XL_Count SF Trans Raw]" caption="__XL_Count SF Trans Raw" measure="1" displayFolder="" measureGroup="SF Trans Raw" count="0" hidden="1"/>
    <cacheHierarchy uniqueName="[Measures].[__No measures defined]" caption="__No measures defined" measure="1" displayFolder="" count="0" hidden="1"/>
  </cacheHierarchies>
  <kpis count="0"/>
  <dimensions count="2">
    <dimension measure="1" name="Measures" uniqueName="[Measures]" caption="Measures"/>
    <dimension name="SF Trans Raw" uniqueName="[SF Trans Raw]" caption="SF Trans Raw"/>
  </dimensions>
  <measureGroups count="1">
    <measureGroup name="SF Trans Raw" caption="SF Trans Raw"/>
  </measureGroups>
  <maps count="1">
    <map measureGroup="0" dimension="1"/>
  </maps>
  <extLst>
    <ext xmlns:x14="http://schemas.microsoft.com/office/spreadsheetml/2009/9/main" uri="{725AE2AE-9491-48be-B2B4-4EB974FC3084}">
      <x14:pivotCacheDefinition slicerData="1" pivotCacheId="20232587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206646-F23E-4A18-BA47-91F417044DF3}" name="PivotTable9" cacheId="2185" dataOnRows="1" applyNumberFormats="0" applyBorderFormats="0" applyFontFormats="0" applyPatternFormats="0" applyAlignmentFormats="0" applyWidthHeightFormats="1" dataCaption="Values" tag="95437e94-3514-4e4e-9159-0d81f369778b" updatedVersion="8" minRefreshableVersion="3" subtotalHiddenItems="1" itemPrintTitles="1" createdVersion="8" indent="0" outline="1" outlineData="1" multipleFieldFilters="0" chartFormat="13">
  <location ref="J15:K19" firstHeaderRow="1" firstDataRow="1" firstDataCol="1"/>
  <pivotFields count="3">
    <pivotField axis="axisRow" allDrilled="1" subtotalTop="0" showAll="0" measureFilter="1"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9">
      <autoFilter ref="A1">
        <filterColumn colId="0">
          <top10 val="3" filterVal="3"/>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82B74D-CDC6-4E83-B1DA-87C4F7A646C0}" name="PivotTable8" cacheId="2182" dataOnRows="1" applyNumberFormats="0" applyBorderFormats="0" applyFontFormats="0" applyPatternFormats="0" applyAlignmentFormats="0" applyWidthHeightFormats="1" dataCaption="Values" tag="fc76e9c3-a0f7-49d1-b8d5-b438f6085764" updatedVersion="8" minRefreshableVersion="3" subtotalHiddenItems="1" itemPrintTitles="1" createdVersion="8" indent="0" outline="1" outlineData="1" multipleFieldFilters="0" chartFormat="15">
  <location ref="J10:K12" firstHeaderRow="1" firstDataRow="1" firstDataCol="1"/>
  <pivotFields count="3">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2">
    <i>
      <x/>
    </i>
    <i i="1">
      <x v="1"/>
    </i>
  </rowItems>
  <colItems count="1">
    <i/>
  </colItems>
  <dataFields count="2">
    <dataField name="National Sales" fld="0" subtotal="count" baseField="0" baseItem="0"/>
    <dataField name="International Sales" fld="1" subtotal="count" baseField="0" baseItem="0"/>
  </dataFields>
  <chartFormats count="3">
    <chartFormat chart="12" format="6" series="1">
      <pivotArea type="data" outline="0" fieldPosition="0">
        <references count="1">
          <reference field="4294967294" count="1" selected="0">
            <x v="0"/>
          </reference>
        </references>
      </pivotArea>
    </chartFormat>
    <chartFormat chart="12" format="7">
      <pivotArea type="data" outline="0" fieldPosition="0">
        <references count="1">
          <reference field="4294967294" count="1" selected="0">
            <x v="0"/>
          </reference>
        </references>
      </pivotArea>
    </chartFormat>
    <chartFormat chart="12" format="8">
      <pivotArea type="data" outline="0" fieldPosition="0">
        <references count="1">
          <reference field="4294967294"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2C067E-AB65-428B-9D09-A640C4BB6961}" name="PivotTable4" cacheId="2170" applyNumberFormats="0" applyBorderFormats="0" applyFontFormats="0" applyPatternFormats="0" applyAlignmentFormats="0" applyWidthHeightFormats="1" dataCaption="Values" tag="b821283b-efd6-4d98-be7e-cc7d103717cb" updatedVersion="8" minRefreshableVersion="3" subtotalHiddenItems="1" itemPrintTitles="1" createdVersion="8" indent="0" outline="1" outlineData="1" multipleFieldFilters="0" chartFormat="9">
  <location ref="E10:F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3">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DB4605-A04C-4B4E-9A56-BED628FE76BE}" name="PivotTable1" cacheId="2161" applyNumberFormats="0" applyBorderFormats="0" applyFontFormats="0" applyPatternFormats="0" applyAlignmentFormats="0" applyWidthHeightFormats="1" dataCaption="Values" tag="04eb0bd4-4c7f-4d87-a080-9810a18d0b6c" updatedVersion="8" minRefreshableVersion="3" useAutoFormatting="1" subtotalHiddenItems="1" itemPrintTitles="1" createdVersion="8" indent="0" outline="1" outlineData="1" multipleFieldFilters="0" chartFormat="27">
  <location ref="G19:H26"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dataFields>
  <chartFormats count="2">
    <chartFormat chart="25"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A47197-7CDF-4FD7-A4DC-95FD9BC9039F}" name="PivotTable3" cacheId="2167" applyNumberFormats="0" applyBorderFormats="0" applyFontFormats="0" applyPatternFormats="0" applyAlignmentFormats="0" applyWidthHeightFormats="1" dataCaption="Values" tag="371ce74f-e274-4501-ba91-1d321355ad65" updatedVersion="8" minRefreshableVersion="3" useAutoFormatting="1" itemPrintTitles="1" createdVersion="8" indent="0" outline="1" outlineData="1" multipleFieldFilters="0">
  <location ref="C5:C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4CC8BC-B322-4CD6-9348-EEC6A04B2B65}" name="PivotTable2" cacheId="2164" applyNumberFormats="0" applyBorderFormats="0" applyFontFormats="0" applyPatternFormats="0" applyAlignmentFormats="0" applyWidthHeightFormats="1" dataCaption="Values" tag="02733ae6-9355-470d-bcb0-4741c647c50c"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07BF3E-4BA7-4CA5-99AD-DA11A5C4007F}" name="PivotTable7" cacheId="2179" applyNumberFormats="0" applyBorderFormats="0" applyFontFormats="0" applyPatternFormats="0" applyAlignmentFormats="0" applyWidthHeightFormats="1" dataCaption="Values" tag="8dc90e6c-d711-4325-9415-afc32463624e" updatedVersion="8" minRefreshableVersion="3" useAutoFormatting="1" itemPrintTitles="1" createdVersion="8" indent="0" outline="1" outlineData="1" multipleFieldFilters="0" chartFormat="10">
  <location ref="G10:H16"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3">
    <chartFormat chart="5"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22C813-7B2E-4D0E-99FC-9495C72689E8}" name="PivotTable6" cacheId="2176" applyNumberFormats="0" applyBorderFormats="0" applyFontFormats="0" applyPatternFormats="0" applyAlignmentFormats="0" applyWidthHeightFormats="1" dataCaption="Values" tag="89376531-f0c4-4ae2-ad80-8ac8301382d8" updatedVersion="8" minRefreshableVersion="3" useAutoFormatting="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6403B7-95A8-46BE-AC9F-D5044DB38B9D}" name="PivotTable5" cacheId="2173" applyNumberFormats="0" applyBorderFormats="0" applyFontFormats="0" applyPatternFormats="0" applyAlignmentFormats="0" applyWidthHeightFormats="1" dataCaption="Values" tag="fbf91466-d23c-4904-90e0-fe682ab86a71" updatedVersion="8" minRefreshableVersion="3" useAutoFormatting="1" itemPrintTitles="1" createdVersion="8" indent="0" outline="1" outlineData="1" multipleFieldFilters="0">
  <location ref="F7:F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SF Trans Raw].[Month].&amp;[12]"/>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F Trans Raw]"/>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2A1F8CB-9A0E-4CBE-9406-FCE795C8A381}" sourceName="[SF Trans Raw].[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429999">
      <levels count="2">
        <level uniqueName="[SF Trans Raw].[Month].[(All)]" sourceCaption="(All)" count="0"/>
        <level uniqueName="[SF Trans Raw].[Month].[Month]" sourceCaption="Month" count="3">
          <ranges>
            <range startItem="0">
              <i n="[SF Trans Raw].[Month].&amp;[1]" c="1"/>
              <i n="[SF Trans Raw].[Month].&amp;[2]" c="2"/>
              <i n="[SF Trans Raw].[Month].&amp;[12]" c="12"/>
            </range>
          </ranges>
        </level>
      </levels>
      <selections count="1">
        <selection n="[SF Trans Raw].[Month].&amp;[1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F50E4B2-D325-4FB6-8B9A-65E70DA1E6EB}" sourceName="[SF Trans Raw].[Yea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023258701">
      <levels count="2">
        <level uniqueName="[SF Trans Raw].[Year].[(All)]" sourceCaption="(All)" count="0"/>
        <level uniqueName="[SF Trans Raw].[Year].[Year]" sourceCaption="Year" count="2">
          <ranges>
            <range startItem="0">
              <i n="[SF Trans Raw].[Year].&amp;[2023]" c="2023"/>
              <i n="[SF Trans Raw].[Year].&amp;[2024]" c="2024" nd="1"/>
            </range>
          </ranges>
        </level>
      </levels>
      <selections count="1">
        <selection n="[SF Trans Raw].[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251F9B5-5FF1-4F01-BCBA-52B3181E78EA}" cache="Slicer_Month" caption="Month" level="1" style="Slicer Style 1" rowHeight="257175"/>
  <slicer name="Year" xr10:uid="{4F61151E-9815-4622-B21E-4A924B43E622}" cache="Slicer_Year" caption="Year" level="1"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A5EAF-8BF0-4ED6-A7C1-B3C1F0EC4D87}">
  <dimension ref="A3:M26"/>
  <sheetViews>
    <sheetView topLeftCell="G1" workbookViewId="0">
      <selection activeCell="L22" sqref="L22:M26"/>
    </sheetView>
  </sheetViews>
  <sheetFormatPr defaultRowHeight="15" x14ac:dyDescent="0.25"/>
  <cols>
    <col min="1" max="1" width="10.7109375" bestFit="1" customWidth="1"/>
    <col min="2" max="2" width="23.140625" bestFit="1" customWidth="1"/>
    <col min="3" max="3" width="12" bestFit="1" customWidth="1"/>
    <col min="4" max="4" width="10.7109375" bestFit="1" customWidth="1"/>
    <col min="5" max="5" width="16" bestFit="1" customWidth="1"/>
    <col min="6" max="6" width="19.140625" bestFit="1" customWidth="1"/>
    <col min="7" max="7" width="13.42578125" bestFit="1" customWidth="1"/>
    <col min="8" max="8" width="10.7109375" bestFit="1" customWidth="1"/>
    <col min="9" max="12" width="29.85546875" bestFit="1" customWidth="1"/>
    <col min="13" max="13" width="48.42578125" customWidth="1"/>
    <col min="14" max="19" width="29.85546875" bestFit="1" customWidth="1"/>
    <col min="20" max="20" width="11.28515625" bestFit="1" customWidth="1"/>
  </cols>
  <sheetData>
    <row r="3" spans="1:11" x14ac:dyDescent="0.25">
      <c r="A3" t="s">
        <v>2</v>
      </c>
    </row>
    <row r="4" spans="1:11" x14ac:dyDescent="0.25">
      <c r="A4" t="s">
        <v>2</v>
      </c>
      <c r="C4" t="s">
        <v>10</v>
      </c>
    </row>
    <row r="5" spans="1:11" x14ac:dyDescent="0.25">
      <c r="A5" s="4">
        <v>3853977</v>
      </c>
      <c r="C5" t="s">
        <v>9</v>
      </c>
      <c r="E5" t="s">
        <v>11</v>
      </c>
    </row>
    <row r="6" spans="1:11" x14ac:dyDescent="0.25">
      <c r="C6" s="4">
        <v>246</v>
      </c>
      <c r="E6" t="s">
        <v>11</v>
      </c>
      <c r="F6" t="s">
        <v>8</v>
      </c>
    </row>
    <row r="7" spans="1:11" x14ac:dyDescent="0.25">
      <c r="E7" s="4">
        <v>233</v>
      </c>
      <c r="F7" t="s">
        <v>8</v>
      </c>
    </row>
    <row r="8" spans="1:11" x14ac:dyDescent="0.25">
      <c r="F8" s="3">
        <v>15666.573170731708</v>
      </c>
    </row>
    <row r="9" spans="1:11" x14ac:dyDescent="0.25">
      <c r="G9" t="s">
        <v>12</v>
      </c>
    </row>
    <row r="10" spans="1:11" x14ac:dyDescent="0.25">
      <c r="E10" s="1" t="s">
        <v>1</v>
      </c>
      <c r="F10" t="s">
        <v>11</v>
      </c>
      <c r="G10" s="1" t="s">
        <v>1</v>
      </c>
      <c r="H10" t="s">
        <v>2</v>
      </c>
      <c r="J10" s="1" t="s">
        <v>25</v>
      </c>
    </row>
    <row r="11" spans="1:11" x14ac:dyDescent="0.25">
      <c r="E11" s="2" t="s">
        <v>23</v>
      </c>
      <c r="F11" s="4">
        <v>155</v>
      </c>
      <c r="G11" s="2" t="s">
        <v>3</v>
      </c>
      <c r="H11" s="4">
        <v>388714</v>
      </c>
      <c r="J11" s="2" t="s">
        <v>26</v>
      </c>
      <c r="K11" s="4">
        <v>1975649</v>
      </c>
    </row>
    <row r="12" spans="1:11" x14ac:dyDescent="0.25">
      <c r="E12" s="2" t="s">
        <v>24</v>
      </c>
      <c r="F12" s="4">
        <v>78</v>
      </c>
      <c r="G12" s="2" t="s">
        <v>4</v>
      </c>
      <c r="H12" s="4">
        <v>495695</v>
      </c>
      <c r="J12" s="2" t="s">
        <v>27</v>
      </c>
      <c r="K12" s="4">
        <v>1878328</v>
      </c>
    </row>
    <row r="13" spans="1:11" x14ac:dyDescent="0.25">
      <c r="E13" s="2" t="s">
        <v>0</v>
      </c>
      <c r="F13" s="4">
        <v>233</v>
      </c>
      <c r="G13" s="2" t="s">
        <v>5</v>
      </c>
      <c r="H13" s="4">
        <v>623571</v>
      </c>
    </row>
    <row r="14" spans="1:11" x14ac:dyDescent="0.25">
      <c r="G14" s="2" t="s">
        <v>6</v>
      </c>
      <c r="H14" s="4">
        <v>1312089</v>
      </c>
    </row>
    <row r="15" spans="1:11" x14ac:dyDescent="0.25">
      <c r="G15" s="2" t="s">
        <v>7</v>
      </c>
      <c r="H15" s="4">
        <v>1033908</v>
      </c>
      <c r="J15" s="1" t="s">
        <v>1</v>
      </c>
      <c r="K15" t="s">
        <v>11</v>
      </c>
    </row>
    <row r="16" spans="1:11" x14ac:dyDescent="0.25">
      <c r="G16" s="2" t="s">
        <v>0</v>
      </c>
      <c r="H16" s="4">
        <v>3853977</v>
      </c>
      <c r="J16" s="2" t="s">
        <v>13</v>
      </c>
      <c r="K16" s="4">
        <v>49</v>
      </c>
    </row>
    <row r="17" spans="7:13" x14ac:dyDescent="0.25">
      <c r="J17" s="2" t="s">
        <v>14</v>
      </c>
      <c r="K17" s="4">
        <v>23</v>
      </c>
    </row>
    <row r="18" spans="7:13" x14ac:dyDescent="0.25">
      <c r="G18" s="2" t="s">
        <v>22</v>
      </c>
      <c r="J18" s="2" t="s">
        <v>15</v>
      </c>
      <c r="K18" s="4">
        <v>27</v>
      </c>
    </row>
    <row r="19" spans="7:13" x14ac:dyDescent="0.25">
      <c r="G19" s="1" t="s">
        <v>1</v>
      </c>
      <c r="H19" t="s">
        <v>2</v>
      </c>
      <c r="J19" s="2" t="s">
        <v>0</v>
      </c>
      <c r="K19" s="4">
        <v>99</v>
      </c>
    </row>
    <row r="20" spans="7:13" x14ac:dyDescent="0.25">
      <c r="G20" s="2" t="s">
        <v>16</v>
      </c>
      <c r="H20" s="4">
        <v>126668</v>
      </c>
    </row>
    <row r="21" spans="7:13" x14ac:dyDescent="0.25">
      <c r="G21" s="2" t="s">
        <v>17</v>
      </c>
      <c r="H21" s="4">
        <v>1975649</v>
      </c>
    </row>
    <row r="22" spans="7:13" x14ac:dyDescent="0.25">
      <c r="G22" s="2" t="s">
        <v>18</v>
      </c>
      <c r="H22" s="4">
        <v>55876</v>
      </c>
      <c r="L22" s="5"/>
      <c r="M22" s="5"/>
    </row>
    <row r="23" spans="7:13" x14ac:dyDescent="0.25">
      <c r="G23" s="2" t="s">
        <v>19</v>
      </c>
      <c r="H23" s="4">
        <v>85359</v>
      </c>
      <c r="L23" s="6" t="str">
        <f>J16</f>
        <v>Carnatic Classical</v>
      </c>
      <c r="M23" s="6">
        <f>K16</f>
        <v>49</v>
      </c>
    </row>
    <row r="24" spans="7:13" x14ac:dyDescent="0.25">
      <c r="G24" s="2" t="s">
        <v>20</v>
      </c>
      <c r="H24" s="4">
        <v>267346</v>
      </c>
      <c r="L24" s="6" t="str">
        <f t="shared" ref="L24:M25" si="0">J17</f>
        <v>Hindi Film Music</v>
      </c>
      <c r="M24" s="6">
        <f t="shared" si="0"/>
        <v>23</v>
      </c>
    </row>
    <row r="25" spans="7:13" x14ac:dyDescent="0.25">
      <c r="G25" s="2" t="s">
        <v>21</v>
      </c>
      <c r="H25" s="4">
        <v>1343079</v>
      </c>
      <c r="L25" s="6" t="str">
        <f t="shared" si="0"/>
        <v>Hindustani Classical</v>
      </c>
      <c r="M25" s="6">
        <f t="shared" si="0"/>
        <v>27</v>
      </c>
    </row>
    <row r="26" spans="7:13" x14ac:dyDescent="0.25">
      <c r="G26" s="2" t="s">
        <v>0</v>
      </c>
      <c r="H26" s="4">
        <v>3853977</v>
      </c>
      <c r="L26" s="5"/>
      <c r="M26"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F3A69-8270-492D-97F9-EB71DDFA5905}">
  <dimension ref="A1"/>
  <sheetViews>
    <sheetView showGridLines="0" tabSelected="1" zoomScaleNormal="100" workbookViewId="0">
      <selection activeCell="U7" sqref="U7"/>
    </sheetView>
  </sheetViews>
  <sheetFormatPr defaultRowHeight="15" x14ac:dyDescent="0.25"/>
  <cols>
    <col min="12" max="12" width="30.42578125" bestFit="1"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9F671BDC-320C-48CB-9202-66CA7B805D7C}">
  <ds:schemaRefs/>
</ds:datastoreItem>
</file>

<file path=customXml/itemProps2.xml><?xml version="1.0" encoding="utf-8"?>
<ds:datastoreItem xmlns:ds="http://schemas.openxmlformats.org/officeDocument/2006/customXml" ds:itemID="{76ED89F8-154C-4BA8-8DEB-51014239DD66}">
  <ds:schemaRefs/>
</ds:datastoreItem>
</file>

<file path=customXml/itemProps3.xml><?xml version="1.0" encoding="utf-8"?>
<ds:datastoreItem xmlns:ds="http://schemas.openxmlformats.org/officeDocument/2006/customXml" ds:itemID="{263E8E03-B249-4A87-90DC-52707FE8000D}">
  <ds:schemaRefs/>
</ds:datastoreItem>
</file>

<file path=customXml/itemProps4.xml><?xml version="1.0" encoding="utf-8"?>
<ds:datastoreItem xmlns:ds="http://schemas.openxmlformats.org/officeDocument/2006/customXml" ds:itemID="{462189BA-7064-47BA-8995-996AB60F2FFA}">
  <ds:schemaRefs/>
</ds:datastoreItem>
</file>

<file path=customXml/itemProps5.xml><?xml version="1.0" encoding="utf-8"?>
<ds:datastoreItem xmlns:ds="http://schemas.openxmlformats.org/officeDocument/2006/customXml" ds:itemID="{138E9043-8A06-42F8-BB34-EC29CA46D5D7}">
  <ds:schemaRefs/>
</ds:datastoreItem>
</file>

<file path=customXml/itemProps6.xml><?xml version="1.0" encoding="utf-8"?>
<ds:datastoreItem xmlns:ds="http://schemas.openxmlformats.org/officeDocument/2006/customXml" ds:itemID="{A39F507B-0FDD-4220-9CC1-707B92BA06C0}">
  <ds:schemaRefs>
    <ds:schemaRef ds:uri="http://schemas.microsoft.com/DataMashup"/>
  </ds:schemaRefs>
</ds:datastoreItem>
</file>

<file path=customXml/itemProps7.xml><?xml version="1.0" encoding="utf-8"?>
<ds:datastoreItem xmlns:ds="http://schemas.openxmlformats.org/officeDocument/2006/customXml" ds:itemID="{C3E7D6EB-A24D-49D9-AC95-496501194DC5}">
  <ds:schemaRefs/>
</ds:datastoreItem>
</file>

<file path=customXml/itemProps8.xml><?xml version="1.0" encoding="utf-8"?>
<ds:datastoreItem xmlns:ds="http://schemas.openxmlformats.org/officeDocument/2006/customXml" ds:itemID="{7A8F5FAB-528D-468F-B792-F806475D9674}">
  <ds:schemaRefs/>
</ds:datastoreItem>
</file>

<file path=customXml/itemProps9.xml><?xml version="1.0" encoding="utf-8"?>
<ds:datastoreItem xmlns:ds="http://schemas.openxmlformats.org/officeDocument/2006/customXml" ds:itemID="{285250CA-175B-4E42-956B-E941F6484442}">
  <ds:schemaRefs/>
</ds:datastoreItem>
</file>

<file path=customXml/itemProps10.xml><?xml version="1.0" encoding="utf-8"?>
<ds:datastoreItem xmlns:ds="http://schemas.openxmlformats.org/officeDocument/2006/customXml" ds:itemID="{603F0603-C3D8-4F4B-8F86-1BDB144E49D9}">
  <ds:schemaRefs/>
</ds:datastoreItem>
</file>

<file path=customXml/itemProps11.xml><?xml version="1.0" encoding="utf-8"?>
<ds:datastoreItem xmlns:ds="http://schemas.openxmlformats.org/officeDocument/2006/customXml" ds:itemID="{D186255E-6B28-4A76-B23C-8C15428FA661}">
  <ds:schemaRefs/>
</ds:datastoreItem>
</file>

<file path=customXml/itemProps12.xml><?xml version="1.0" encoding="utf-8"?>
<ds:datastoreItem xmlns:ds="http://schemas.openxmlformats.org/officeDocument/2006/customXml" ds:itemID="{FFBF484F-DD02-401F-94CB-8300F4FD82C9}">
  <ds:schemaRefs/>
</ds:datastoreItem>
</file>

<file path=customXml/itemProps13.xml><?xml version="1.0" encoding="utf-8"?>
<ds:datastoreItem xmlns:ds="http://schemas.openxmlformats.org/officeDocument/2006/customXml" ds:itemID="{25245087-FA8B-4189-B309-11134E90DF4D}">
  <ds:schemaRefs/>
</ds:datastoreItem>
</file>

<file path=customXml/itemProps14.xml><?xml version="1.0" encoding="utf-8"?>
<ds:datastoreItem xmlns:ds="http://schemas.openxmlformats.org/officeDocument/2006/customXml" ds:itemID="{F5BD1EF2-81A4-4510-B97F-FED84D5EAFF9}">
  <ds:schemaRefs/>
</ds:datastoreItem>
</file>

<file path=customXml/itemProps15.xml><?xml version="1.0" encoding="utf-8"?>
<ds:datastoreItem xmlns:ds="http://schemas.openxmlformats.org/officeDocument/2006/customXml" ds:itemID="{12A4FCD9-5A53-42E7-B953-C66D0DD52871}">
  <ds:schemaRefs/>
</ds:datastoreItem>
</file>

<file path=customXml/itemProps16.xml><?xml version="1.0" encoding="utf-8"?>
<ds:datastoreItem xmlns:ds="http://schemas.openxmlformats.org/officeDocument/2006/customXml" ds:itemID="{9909DA62-4B8D-4972-8D65-C73AD6898BCB}">
  <ds:schemaRefs/>
</ds:datastoreItem>
</file>

<file path=customXml/itemProps17.xml><?xml version="1.0" encoding="utf-8"?>
<ds:datastoreItem xmlns:ds="http://schemas.openxmlformats.org/officeDocument/2006/customXml" ds:itemID="{A1C2808D-DEE9-4E8D-A48A-BFD8FDC3F2D5}">
  <ds:schemaRefs/>
</ds:datastoreItem>
</file>

<file path=customXml/itemProps18.xml><?xml version="1.0" encoding="utf-8"?>
<ds:datastoreItem xmlns:ds="http://schemas.openxmlformats.org/officeDocument/2006/customXml" ds:itemID="{F6F50FAF-A24E-4B4D-A635-44CB1EF822C2}">
  <ds:schemaRefs/>
</ds:datastoreItem>
</file>

<file path=customXml/itemProps19.xml><?xml version="1.0" encoding="utf-8"?>
<ds:datastoreItem xmlns:ds="http://schemas.openxmlformats.org/officeDocument/2006/customXml" ds:itemID="{CA012674-34E5-4616-B6E4-70005A01C7F3}">
  <ds:schemaRefs/>
</ds:datastoreItem>
</file>

<file path=customXml/itemProps20.xml><?xml version="1.0" encoding="utf-8"?>
<ds:datastoreItem xmlns:ds="http://schemas.openxmlformats.org/officeDocument/2006/customXml" ds:itemID="{663FA1AE-A091-4802-80A4-F4AA5DF4B32A}">
  <ds:schemaRefs/>
</ds:datastoreItem>
</file>

<file path=customXml/itemProps21.xml><?xml version="1.0" encoding="utf-8"?>
<ds:datastoreItem xmlns:ds="http://schemas.openxmlformats.org/officeDocument/2006/customXml" ds:itemID="{2773A831-A261-4D0F-A8DF-AEC0C86A02F9}">
  <ds:schemaRefs/>
</ds:datastoreItem>
</file>

<file path=customXml/itemProps22.xml><?xml version="1.0" encoding="utf-8"?>
<ds:datastoreItem xmlns:ds="http://schemas.openxmlformats.org/officeDocument/2006/customXml" ds:itemID="{63847C19-9EA7-4E11-979A-74BB050DD175}">
  <ds:schemaRefs/>
</ds:datastoreItem>
</file>

<file path=customXml/itemProps23.xml><?xml version="1.0" encoding="utf-8"?>
<ds:datastoreItem xmlns:ds="http://schemas.openxmlformats.org/officeDocument/2006/customXml" ds:itemID="{02C12511-8B99-47E7-B290-989589C1CCD1}">
  <ds:schemaRefs/>
</ds:datastoreItem>
</file>

<file path=customXml/itemProps24.xml><?xml version="1.0" encoding="utf-8"?>
<ds:datastoreItem xmlns:ds="http://schemas.openxmlformats.org/officeDocument/2006/customXml" ds:itemID="{79EB6041-A1FA-487B-AE37-9AC4062ABF99}">
  <ds:schemaRefs/>
</ds:datastoreItem>
</file>

<file path=customXml/itemProps25.xml><?xml version="1.0" encoding="utf-8"?>
<ds:datastoreItem xmlns:ds="http://schemas.openxmlformats.org/officeDocument/2006/customXml" ds:itemID="{2ACCF0EE-1E19-4554-ACFD-F7038D01AD2E}">
  <ds:schemaRefs/>
</ds:datastoreItem>
</file>

<file path=customXml/itemProps26.xml><?xml version="1.0" encoding="utf-8"?>
<ds:datastoreItem xmlns:ds="http://schemas.openxmlformats.org/officeDocument/2006/customXml" ds:itemID="{0EB28190-E092-4E70-A9A7-EAABB1135541}">
  <ds:schemaRefs/>
</ds:datastoreItem>
</file>

<file path=customXml/itemProps27.xml><?xml version="1.0" encoding="utf-8"?>
<ds:datastoreItem xmlns:ds="http://schemas.openxmlformats.org/officeDocument/2006/customXml" ds:itemID="{F06BCCBC-C21F-43BC-852C-70F4BB241970}">
  <ds:schemaRefs/>
</ds:datastoreItem>
</file>

<file path=customXml/itemProps28.xml><?xml version="1.0" encoding="utf-8"?>
<ds:datastoreItem xmlns:ds="http://schemas.openxmlformats.org/officeDocument/2006/customXml" ds:itemID="{EAD736E1-A7E7-4C7A-B6A4-FB10744A78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kushwaha</dc:creator>
  <cp:lastModifiedBy>abhishek kushwaha</cp:lastModifiedBy>
  <dcterms:created xsi:type="dcterms:W3CDTF">2026-06-18T09:36:13Z</dcterms:created>
  <dcterms:modified xsi:type="dcterms:W3CDTF">2026-06-19T14:37:47Z</dcterms:modified>
</cp:coreProperties>
</file>